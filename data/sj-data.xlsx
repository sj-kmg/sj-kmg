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SJ-DATA1\"/>
    </mc:Choice>
  </mc:AlternateContent>
  <bookViews>
    <workbookView xWindow="0" yWindow="0" windowWidth="10236" windowHeight="10908"/>
  </bookViews>
  <sheets>
    <sheet name="사용안내" sheetId="1" r:id="rId1"/>
    <sheet name="기준정보" sheetId="2" r:id="rId2"/>
    <sheet name="거래처" sheetId="3" r:id="rId3"/>
    <sheet name="프로젝트" sheetId="4" r:id="rId4"/>
    <sheet name="매출" sheetId="5" r:id="rId5"/>
    <sheet name="매입" sheetId="6" r:id="rId6"/>
    <sheet name="자금일보" sheetId="7" r:id="rId7"/>
    <sheet name="인사명부" sheetId="8" r:id="rId8"/>
    <sheet name="급여대장" sheetId="9" r:id="rId9"/>
    <sheet name="월별요약" sheetId="10" r:id="rId10"/>
  </sheets>
  <definedNames>
    <definedName name="_xlnm._FilterDatabase" localSheetId="2" hidden="1">거래처!$A$1:$K$13</definedName>
    <definedName name="_xlnm._FilterDatabase" localSheetId="8" hidden="1">급여대장!$A$1:$Q$17</definedName>
    <definedName name="_xlnm._FilterDatabase" localSheetId="5" hidden="1">매입!$A$1:$Q$19</definedName>
    <definedName name="_xlnm._FilterDatabase" localSheetId="4" hidden="1">매출!$A$1:$R$12</definedName>
    <definedName name="_xlnm._FilterDatabase" localSheetId="7" hidden="1">인사명부!$A$1:$I$10</definedName>
    <definedName name="_xlnm._FilterDatabase" localSheetId="6" hidden="1">자금일보!$A$1:$I$21</definedName>
    <definedName name="_xlnm._FilterDatabase" localSheetId="3" hidden="1">프로젝트!$A$1:$O$8</definedName>
  </definedNames>
  <calcPr calcId="162913"/>
</workbook>
</file>

<file path=xl/calcChain.xml><?xml version="1.0" encoding="utf-8"?>
<calcChain xmlns="http://schemas.openxmlformats.org/spreadsheetml/2006/main">
  <c r="F25" i="10" l="1"/>
  <c r="E25" i="10"/>
  <c r="C25" i="10"/>
  <c r="B25" i="10"/>
  <c r="D25" i="10" s="1"/>
  <c r="F24" i="10"/>
  <c r="E24" i="10"/>
  <c r="C24" i="10"/>
  <c r="B24" i="10"/>
  <c r="D24" i="10" s="1"/>
  <c r="F23" i="10"/>
  <c r="E23" i="10"/>
  <c r="C23" i="10"/>
  <c r="B23" i="10"/>
  <c r="D23" i="10" s="1"/>
  <c r="F22" i="10"/>
  <c r="E22" i="10"/>
  <c r="C22" i="10"/>
  <c r="D22" i="10" s="1"/>
  <c r="B22" i="10"/>
  <c r="F21" i="10"/>
  <c r="E21" i="10"/>
  <c r="C21" i="10"/>
  <c r="B21" i="10"/>
  <c r="D21" i="10" s="1"/>
  <c r="F20" i="10"/>
  <c r="E20" i="10"/>
  <c r="C20" i="10"/>
  <c r="B20" i="10"/>
  <c r="F19" i="10"/>
  <c r="E19" i="10"/>
  <c r="C19" i="10"/>
  <c r="B19" i="10"/>
  <c r="D19" i="10" s="1"/>
  <c r="F18" i="10"/>
  <c r="E18" i="10"/>
  <c r="C18" i="10"/>
  <c r="B18" i="10"/>
  <c r="F17" i="10"/>
  <c r="E17" i="10"/>
  <c r="C17" i="10"/>
  <c r="B17" i="10"/>
  <c r="D17" i="10" s="1"/>
  <c r="F16" i="10"/>
  <c r="E16" i="10"/>
  <c r="C16" i="10"/>
  <c r="B16" i="10"/>
  <c r="D16" i="10" s="1"/>
  <c r="F15" i="10"/>
  <c r="E15" i="10"/>
  <c r="C15" i="10"/>
  <c r="B15" i="10"/>
  <c r="D15" i="10" s="1"/>
  <c r="F14" i="10"/>
  <c r="F26" i="10" s="1"/>
  <c r="E14" i="10"/>
  <c r="C14" i="10"/>
  <c r="B14" i="10"/>
  <c r="B7" i="10"/>
  <c r="B6" i="10"/>
  <c r="B5" i="10"/>
  <c r="B4" i="10"/>
  <c r="M17" i="9"/>
  <c r="G17" i="9"/>
  <c r="I17" i="9" s="1"/>
  <c r="J17" i="9" s="1"/>
  <c r="D17" i="9"/>
  <c r="C17" i="9"/>
  <c r="M16" i="9"/>
  <c r="G16" i="9"/>
  <c r="I16" i="9" s="1"/>
  <c r="J16" i="9" s="1"/>
  <c r="D16" i="9"/>
  <c r="C16" i="9"/>
  <c r="M15" i="9"/>
  <c r="G15" i="9"/>
  <c r="K15" i="9" s="1"/>
  <c r="D15" i="9"/>
  <c r="C15" i="9"/>
  <c r="M14" i="9"/>
  <c r="G14" i="9"/>
  <c r="I14" i="9" s="1"/>
  <c r="J14" i="9" s="1"/>
  <c r="D14" i="9"/>
  <c r="C14" i="9"/>
  <c r="M13" i="9"/>
  <c r="G13" i="9"/>
  <c r="D13" i="9"/>
  <c r="C13" i="9"/>
  <c r="M12" i="9"/>
  <c r="G12" i="9"/>
  <c r="I12" i="9" s="1"/>
  <c r="J12" i="9" s="1"/>
  <c r="D12" i="9"/>
  <c r="C12" i="9"/>
  <c r="M11" i="9"/>
  <c r="G11" i="9"/>
  <c r="H11" i="9" s="1"/>
  <c r="D11" i="9"/>
  <c r="C11" i="9"/>
  <c r="M10" i="9"/>
  <c r="K10" i="9"/>
  <c r="G10" i="9"/>
  <c r="I10" i="9" s="1"/>
  <c r="J10" i="9" s="1"/>
  <c r="D10" i="9"/>
  <c r="C10" i="9"/>
  <c r="M9" i="9"/>
  <c r="G9" i="9"/>
  <c r="D9" i="9"/>
  <c r="C9" i="9"/>
  <c r="M8" i="9"/>
  <c r="G8" i="9"/>
  <c r="I8" i="9" s="1"/>
  <c r="J8" i="9" s="1"/>
  <c r="D8" i="9"/>
  <c r="C8" i="9"/>
  <c r="M7" i="9"/>
  <c r="K7" i="9"/>
  <c r="I7" i="9"/>
  <c r="J7" i="9" s="1"/>
  <c r="H7" i="9"/>
  <c r="G7" i="9"/>
  <c r="D7" i="9"/>
  <c r="C7" i="9"/>
  <c r="M6" i="9"/>
  <c r="G6" i="9"/>
  <c r="I6" i="9" s="1"/>
  <c r="D6" i="9"/>
  <c r="C6" i="9"/>
  <c r="M5" i="9"/>
  <c r="G5" i="9"/>
  <c r="H5" i="9" s="1"/>
  <c r="D5" i="9"/>
  <c r="C5" i="9"/>
  <c r="M4" i="9"/>
  <c r="G4" i="9"/>
  <c r="I4" i="9" s="1"/>
  <c r="J4" i="9" s="1"/>
  <c r="D4" i="9"/>
  <c r="C4" i="9"/>
  <c r="M3" i="9"/>
  <c r="G3" i="9"/>
  <c r="H3" i="9" s="1"/>
  <c r="D3" i="9"/>
  <c r="C3" i="9"/>
  <c r="M2" i="9"/>
  <c r="G2" i="9"/>
  <c r="I2" i="9" s="1"/>
  <c r="J2" i="9" s="1"/>
  <c r="D2" i="9"/>
  <c r="C2" i="9"/>
  <c r="I3" i="7"/>
  <c r="I4" i="7" s="1"/>
  <c r="I5" i="7" s="1"/>
  <c r="I6" i="7" s="1"/>
  <c r="I7" i="7" s="1"/>
  <c r="I8" i="7" s="1"/>
  <c r="I9" i="7" s="1"/>
  <c r="I10" i="7" s="1"/>
  <c r="I11" i="7" s="1"/>
  <c r="I12" i="7" s="1"/>
  <c r="I13" i="7" s="1"/>
  <c r="I14" i="7" s="1"/>
  <c r="I15" i="7" s="1"/>
  <c r="I16" i="7" s="1"/>
  <c r="I2" i="7"/>
  <c r="J19" i="6"/>
  <c r="K19" i="6" s="1"/>
  <c r="F19" i="6"/>
  <c r="D19" i="6"/>
  <c r="K18" i="6"/>
  <c r="P18" i="6" s="1"/>
  <c r="F18" i="6"/>
  <c r="D18" i="6"/>
  <c r="J17" i="6"/>
  <c r="K17" i="6" s="1"/>
  <c r="F17" i="6"/>
  <c r="D17" i="6"/>
  <c r="J16" i="6"/>
  <c r="K16" i="6" s="1"/>
  <c r="F16" i="6"/>
  <c r="D16" i="6"/>
  <c r="J15" i="6"/>
  <c r="K15" i="6" s="1"/>
  <c r="O15" i="6" s="1"/>
  <c r="F15" i="6"/>
  <c r="D15" i="6"/>
  <c r="J14" i="6"/>
  <c r="K14" i="6" s="1"/>
  <c r="F14" i="6"/>
  <c r="D14" i="6"/>
  <c r="J13" i="6"/>
  <c r="K13" i="6" s="1"/>
  <c r="P13" i="6" s="1"/>
  <c r="F13" i="6"/>
  <c r="D13" i="6"/>
  <c r="J12" i="6"/>
  <c r="K12" i="6" s="1"/>
  <c r="F12" i="6"/>
  <c r="D12" i="6"/>
  <c r="J11" i="6"/>
  <c r="K11" i="6" s="1"/>
  <c r="O11" i="6" s="1"/>
  <c r="F11" i="6"/>
  <c r="D11" i="6"/>
  <c r="K10" i="6"/>
  <c r="O10" i="6" s="1"/>
  <c r="F10" i="6"/>
  <c r="D10" i="6"/>
  <c r="J9" i="6"/>
  <c r="K9" i="6" s="1"/>
  <c r="P9" i="6" s="1"/>
  <c r="F9" i="6"/>
  <c r="D9" i="6"/>
  <c r="J8" i="6"/>
  <c r="K8" i="6" s="1"/>
  <c r="F8" i="6"/>
  <c r="D8" i="6"/>
  <c r="J7" i="6"/>
  <c r="K7" i="6" s="1"/>
  <c r="F7" i="6"/>
  <c r="D7" i="6"/>
  <c r="J6" i="6"/>
  <c r="K6" i="6" s="1"/>
  <c r="F6" i="6"/>
  <c r="D6" i="6"/>
  <c r="J5" i="6"/>
  <c r="K5" i="6" s="1"/>
  <c r="F5" i="6"/>
  <c r="D5" i="6"/>
  <c r="J4" i="6"/>
  <c r="K4" i="6" s="1"/>
  <c r="F4" i="6"/>
  <c r="D4" i="6"/>
  <c r="J3" i="6"/>
  <c r="K3" i="6" s="1"/>
  <c r="F3" i="6"/>
  <c r="D3" i="6"/>
  <c r="J2" i="6"/>
  <c r="K2" i="6" s="1"/>
  <c r="F2" i="6"/>
  <c r="D2" i="6"/>
  <c r="J12" i="5"/>
  <c r="K12" i="5" s="1"/>
  <c r="Q12" i="5" s="1"/>
  <c r="F12" i="5"/>
  <c r="D12" i="5"/>
  <c r="J11" i="5"/>
  <c r="K11" i="5" s="1"/>
  <c r="F11" i="5"/>
  <c r="D11" i="5"/>
  <c r="J10" i="5"/>
  <c r="K10" i="5" s="1"/>
  <c r="F10" i="5"/>
  <c r="D10" i="5"/>
  <c r="J9" i="5"/>
  <c r="K9" i="5" s="1"/>
  <c r="F9" i="5"/>
  <c r="D9" i="5"/>
  <c r="J8" i="5"/>
  <c r="K8" i="5" s="1"/>
  <c r="F8" i="5"/>
  <c r="D8" i="5"/>
  <c r="J7" i="5"/>
  <c r="K7" i="5" s="1"/>
  <c r="F7" i="5"/>
  <c r="D7" i="5"/>
  <c r="J6" i="5"/>
  <c r="K6" i="5" s="1"/>
  <c r="F6" i="5"/>
  <c r="D6" i="5"/>
  <c r="J5" i="5"/>
  <c r="K5" i="5" s="1"/>
  <c r="F5" i="5"/>
  <c r="D5" i="5"/>
  <c r="J4" i="5"/>
  <c r="K4" i="5" s="1"/>
  <c r="Q4" i="5" s="1"/>
  <c r="F4" i="5"/>
  <c r="D4" i="5"/>
  <c r="J3" i="5"/>
  <c r="K3" i="5" s="1"/>
  <c r="F3" i="5"/>
  <c r="D3" i="5"/>
  <c r="J2" i="5"/>
  <c r="K2" i="5" s="1"/>
  <c r="F2" i="5"/>
  <c r="D2" i="5"/>
  <c r="J8" i="4"/>
  <c r="K8" i="4" s="1"/>
  <c r="D8" i="4"/>
  <c r="J7" i="4"/>
  <c r="K7" i="4" s="1"/>
  <c r="D7" i="4"/>
  <c r="J6" i="4"/>
  <c r="K6" i="4" s="1"/>
  <c r="D6" i="4"/>
  <c r="J5" i="4"/>
  <c r="K5" i="4" s="1"/>
  <c r="D5" i="4"/>
  <c r="J4" i="4"/>
  <c r="K4" i="4" s="1"/>
  <c r="D4" i="4"/>
  <c r="J3" i="4"/>
  <c r="K3" i="4" s="1"/>
  <c r="D3" i="4"/>
  <c r="J2" i="4"/>
  <c r="K2" i="4" s="1"/>
  <c r="D2" i="4"/>
  <c r="K2" i="9" l="1"/>
  <c r="I11" i="9"/>
  <c r="D20" i="10"/>
  <c r="I3" i="9"/>
  <c r="J3" i="9" s="1"/>
  <c r="N3" i="9" s="1"/>
  <c r="O3" i="9" s="1"/>
  <c r="H14" i="9"/>
  <c r="K3" i="9"/>
  <c r="I15" i="9"/>
  <c r="J15" i="9" s="1"/>
  <c r="B8" i="10"/>
  <c r="K11" i="9"/>
  <c r="K14" i="9"/>
  <c r="H17" i="9"/>
  <c r="N17" i="9" s="1"/>
  <c r="O17" i="9" s="1"/>
  <c r="H6" i="9"/>
  <c r="K6" i="9"/>
  <c r="B26" i="10"/>
  <c r="K17" i="9"/>
  <c r="C26" i="10"/>
  <c r="D18" i="10"/>
  <c r="E26" i="10"/>
  <c r="O5" i="6"/>
  <c r="P5" i="6"/>
  <c r="O6" i="6"/>
  <c r="P6" i="6"/>
  <c r="Q2" i="5"/>
  <c r="P2" i="5"/>
  <c r="P3" i="5"/>
  <c r="Q3" i="5"/>
  <c r="P12" i="6"/>
  <c r="O12" i="6"/>
  <c r="Q9" i="5"/>
  <c r="P9" i="5"/>
  <c r="Q6" i="5"/>
  <c r="P6" i="5"/>
  <c r="P7" i="6"/>
  <c r="O7" i="6"/>
  <c r="P8" i="5"/>
  <c r="Q8" i="5"/>
  <c r="P17" i="6"/>
  <c r="O17" i="6"/>
  <c r="P3" i="6"/>
  <c r="O3" i="6"/>
  <c r="P11" i="5"/>
  <c r="Q11" i="5"/>
  <c r="Q7" i="5"/>
  <c r="P7" i="5"/>
  <c r="N5" i="9"/>
  <c r="O5" i="9" s="1"/>
  <c r="P16" i="6"/>
  <c r="O16" i="6"/>
  <c r="J6" i="9"/>
  <c r="P8" i="6"/>
  <c r="O8" i="6"/>
  <c r="I17" i="7"/>
  <c r="I18" i="7" s="1"/>
  <c r="I19" i="7" s="1"/>
  <c r="I20" i="7" s="1"/>
  <c r="I21" i="7" s="1"/>
  <c r="P2" i="6"/>
  <c r="O2" i="6"/>
  <c r="Q10" i="5"/>
  <c r="P10" i="5"/>
  <c r="P4" i="6"/>
  <c r="O4" i="6"/>
  <c r="Q5" i="5"/>
  <c r="P5" i="5"/>
  <c r="P14" i="6"/>
  <c r="O14" i="6"/>
  <c r="P19" i="6"/>
  <c r="O19" i="6"/>
  <c r="N7" i="9"/>
  <c r="O7" i="9" s="1"/>
  <c r="P4" i="5"/>
  <c r="P12" i="5"/>
  <c r="H13" i="9"/>
  <c r="P10" i="6"/>
  <c r="O13" i="6"/>
  <c r="H9" i="9"/>
  <c r="K4" i="9"/>
  <c r="I9" i="9"/>
  <c r="J9" i="9" s="1"/>
  <c r="K12" i="9"/>
  <c r="D14" i="10"/>
  <c r="D26" i="10" s="1"/>
  <c r="K9" i="9"/>
  <c r="P11" i="6"/>
  <c r="H8" i="9"/>
  <c r="H16" i="9"/>
  <c r="I5" i="9"/>
  <c r="J5" i="9" s="1"/>
  <c r="K8" i="9"/>
  <c r="I13" i="9"/>
  <c r="J13" i="9" s="1"/>
  <c r="K16" i="9"/>
  <c r="H2" i="9"/>
  <c r="N2" i="9" s="1"/>
  <c r="O2" i="9" s="1"/>
  <c r="H10" i="9"/>
  <c r="N10" i="9" s="1"/>
  <c r="O10" i="9" s="1"/>
  <c r="P15" i="6"/>
  <c r="O18" i="6"/>
  <c r="K5" i="9"/>
  <c r="K13" i="9"/>
  <c r="H15" i="9"/>
  <c r="N15" i="9" s="1"/>
  <c r="O15" i="9" s="1"/>
  <c r="H4" i="9"/>
  <c r="H12" i="9"/>
  <c r="O9" i="6"/>
  <c r="N14" i="9" l="1"/>
  <c r="O14" i="9" s="1"/>
  <c r="J11" i="9"/>
  <c r="N11" i="9" s="1"/>
  <c r="O11" i="9" s="1"/>
  <c r="N9" i="9"/>
  <c r="O9" i="9" s="1"/>
  <c r="N12" i="9"/>
  <c r="O12" i="9" s="1"/>
  <c r="N6" i="9"/>
  <c r="O6" i="9" s="1"/>
  <c r="N13" i="9"/>
  <c r="O13" i="9" s="1"/>
  <c r="N8" i="9"/>
  <c r="O8" i="9" s="1"/>
  <c r="B9" i="10"/>
  <c r="B10" i="10"/>
  <c r="N4" i="9"/>
  <c r="O4" i="9" s="1"/>
  <c r="N16" i="9"/>
  <c r="O16" i="9" s="1"/>
  <c r="B11" i="10"/>
</calcChain>
</file>

<file path=xl/comments1.xml><?xml version="1.0" encoding="utf-8"?>
<comments xmlns="http://schemas.openxmlformats.org/spreadsheetml/2006/main">
  <authors>
    <author>신정개발</author>
  </authors>
  <commentList>
    <comment ref="B12" authorId="0" shapeId="0">
      <text>
        <r>
          <rPr>
            <sz val="11"/>
            <color theme="1"/>
            <rFont val="맑은 고딕"/>
            <family val="2"/>
            <scheme val="minor"/>
          </rPr>
          <t>샘플 요율입니다. 실제 고지 요율로 확인·수정하세요. 급여대장의 공제액 수식이 이 값을 참조합니다.</t>
        </r>
      </text>
    </comment>
  </commentList>
</comments>
</file>

<file path=xl/comments2.xml><?xml version="1.0" encoding="utf-8"?>
<comments xmlns="http://schemas.openxmlformats.org/spreadsheetml/2006/main">
  <authors>
    <author>신정개발</author>
  </authors>
  <commentList>
    <comment ref="J1" authorId="0" shapeId="0">
      <text>
        <r>
          <rPr>
            <sz val="11"/>
            <color theme="1"/>
            <rFont val="맑은 고딕"/>
            <family val="2"/>
            <scheme val="minor"/>
          </rPr>
          <t>부가세는 기본 10% 자동 계산(수식). 노무비 등 면세 항목은 0을 직접 입력하세요(파란색 숫자).</t>
        </r>
      </text>
    </comment>
  </commentList>
</comments>
</file>

<file path=xl/comments3.xml><?xml version="1.0" encoding="utf-8"?>
<comments xmlns="http://schemas.openxmlformats.org/spreadsheetml/2006/main">
  <authors>
    <author>신정개발</author>
  </authors>
  <commentList>
    <comment ref="G2" authorId="0" shapeId="0">
      <text>
        <r>
          <rPr>
            <sz val="11"/>
            <color theme="1"/>
            <rFont val="맑은 고딕"/>
            <family val="2"/>
            <scheme val="minor"/>
          </rPr>
          <t>샘플 기초잔액입니다. 실제 연초(또는 도입 시점) 잔액으로 교체하세요.</t>
        </r>
      </text>
    </comment>
  </commentList>
</comments>
</file>

<file path=xl/comments4.xml><?xml version="1.0" encoding="utf-8"?>
<comments xmlns="http://schemas.openxmlformats.org/spreadsheetml/2006/main">
  <authors>
    <author>신정개발</author>
  </authors>
  <commentList>
    <comment ref="L1" authorId="0" shapeId="0">
      <text>
        <r>
          <rPr>
            <sz val="11"/>
            <color theme="1"/>
            <rFont val="맑은 고딕"/>
            <family val="2"/>
            <scheme val="minor"/>
          </rPr>
          <t>소득세는 간이세액표 기준 직접 입력(파란색). 지방소득세는 소득세의 10%로 자동 계산됩니다.</t>
        </r>
      </text>
    </comment>
  </commentList>
</comments>
</file>

<file path=xl/sharedStrings.xml><?xml version="1.0" encoding="utf-8"?>
<sst xmlns="http://schemas.openxmlformats.org/spreadsheetml/2006/main" count="767" uniqueCount="457">
  <si>
    <t>신정개발(주) 경영지원 통합 데이터 파일</t>
  </si>
  <si>
    <t>이 파일은 경영지원 대시보드(웹)의 데이터 원본입니다. 담당자가 이 파일에 입력한 데이터를 웹 서비스가 읽어 시각화합니다.</t>
  </si>
  <si>
    <t>※ 현재 입력된 모든 데이터(거래처·프로젝트·금액·인명 등)는 구조 확인용 가상 샘플입니다. 실제 데이터로 교체 후 사용하세요.</t>
  </si>
  <si>
    <t>1. 시트 구성</t>
  </si>
  <si>
    <t>기준정보</t>
  </si>
  <si>
    <t>회사 정보, 부가세율·4대보험 요율, 각 시트 드롭다운에 쓰이는 코드 목록</t>
  </si>
  <si>
    <t>거래처</t>
  </si>
  <si>
    <t>발주처·협력사·자재업체 등 모든 거래처 마스터</t>
  </si>
  <si>
    <t>프로젝트</t>
  </si>
  <si>
    <t>수주 프로젝트(현장) 마스터 — 계약금액, 진행상태, 진행률</t>
  </si>
  <si>
    <t>매출</t>
  </si>
  <si>
    <t>프로젝트별 기성/준공 청구 및 수금 관리 (미수금 자동 계산)</t>
  </si>
  <si>
    <t>매입</t>
  </si>
  <si>
    <t>자재비·외주비·노무비 등 매입/지급 관리 (미지급금 자동 계산)</t>
  </si>
  <si>
    <t>자금일보</t>
  </si>
  <si>
    <t>계좌 입출금 내역과 잔액 (기초잔액부터 자동 누계)</t>
  </si>
  <si>
    <t>인사명부</t>
  </si>
  <si>
    <t>임직원 기본 정보</t>
  </si>
  <si>
    <t>급여대장</t>
  </si>
  <si>
    <t>월별 급여 지급 내역 (4대보험 공제 자동 계산)</t>
  </si>
  <si>
    <t>월별요약</t>
  </si>
  <si>
    <t>위 시트들을 자동 집계한 요약 — 입력 금지, 수식만 존재</t>
  </si>
  <si>
    <t>2. 입력 규칙 (대시보드 연동을 위해 반드시 지켜주세요)</t>
  </si>
  <si>
    <t>① 시트 이름과 1행의 열 제목(헤더)은 절대 변경/삭제하지 마세요. 웹 서비스가 이 이름으로 데이터를 찾습니다.</t>
  </si>
  <si>
    <t>② 데이터는 2행부터 빈 행 없이 이어서 입력하세요. 중간에 빈 행이 있으면 그 아래는 읽히지 않을 수 있습니다.</t>
  </si>
  <si>
    <t>③ 새 행 추가 시: 마지막 데이터 행을 복사한 뒤 값만 수정하면 수식(검은색/초록색 열)이 유지됩니다.</t>
  </si>
  <si>
    <t>④ 날짜는 반드시 날짜 형식(yyyy-mm-dd)으로 입력하세요. 문자로 입력하면 월별 집계에서 빠집니다.</t>
  </si>
  <si>
    <t>⑤ 코드(거래처코드·프로젝트코드·사번)는 중복 없이 규칙대로 부여하세요. 아래 3번 참고.</t>
  </si>
  <si>
    <t>⑥ 드롭다운(구분·상태·계정과목 등)은 기준정보 시트의 목록과 연결되어 있습니다. 항목 추가는 기준정보에서 하세요.</t>
  </si>
  <si>
    <t>3. 코드 규칙</t>
  </si>
  <si>
    <t>거래처코드</t>
  </si>
  <si>
    <t>C001, C002, … (신규 거래처는 마지막 번호 +1)</t>
  </si>
  <si>
    <t>프로젝트코드</t>
  </si>
  <si>
    <t>PJ연도-순번 (예: PJ2026-001)</t>
  </si>
  <si>
    <t>매출ID</t>
  </si>
  <si>
    <t>S-연도-순번 (예: S-2026-001)</t>
  </si>
  <si>
    <t>매입ID</t>
  </si>
  <si>
    <t>P-연도-순번 (예: P-2026-001)</t>
  </si>
  <si>
    <t>사번</t>
  </si>
  <si>
    <t>E001, E002, …</t>
  </si>
  <si>
    <t>4. 색상 규칙</t>
  </si>
  <si>
    <t>파란색 글씨</t>
  </si>
  <si>
    <t>직접 입력하는 값 (금액, 날짜 등)</t>
  </si>
  <si>
    <t>검은색 글씨</t>
  </si>
  <si>
    <t>수식 또는 일반 텍스트 — 수식 열은 직접 입력하지 말 것</t>
  </si>
  <si>
    <t>초록색 글씨</t>
  </si>
  <si>
    <t>다른 시트를 참조하는 수식 (예: 거래처명 자동 표시)</t>
  </si>
  <si>
    <t>노란색 배경</t>
  </si>
  <si>
    <t>실제 값으로 교체/확인이 필요한 칸</t>
  </si>
  <si>
    <t>5. 대시보드 연동 메모</t>
  </si>
  <si>
    <t>· 이 파일을 GitHub 저장소의 data 폴더에 커밋하면 Vercel에 배포된 대시보드가 읽어갑니다.</t>
  </si>
  <si>
    <t>· 저장소용 파일명은 영문(예: sj-data.xlsx)을 권장합니다. 한글 파일명은 URL 인코딩 문제가 생길 수 있습니다.</t>
  </si>
  <si>
    <t>· 웹이 읽는 시트: 거래처, 프로젝트, 매출, 매입, 자금일보, 인사명부, 급여대장 (월별요약은 웹에서 자체 계산)</t>
  </si>
  <si>
    <t>· 수금상태/지급상태 등 수식 열은 웹에서도 동일 규칙으로 재계산하므로, 값이 어긋나면 원본 입력값을 확인하세요.</t>
  </si>
  <si>
    <t>■ 회사 기본정보</t>
  </si>
  <si>
    <t>회사명</t>
  </si>
  <si>
    <t>신정개발(주)</t>
  </si>
  <si>
    <t>대표자</t>
  </si>
  <si>
    <t>(실제 값 입력)</t>
  </si>
  <si>
    <t>사업자등록번호</t>
  </si>
  <si>
    <t>000-00-00000</t>
  </si>
  <si>
    <t>← 사업자등록번호 실제 값으로 교체</t>
  </si>
  <si>
    <t>업태</t>
  </si>
  <si>
    <t>건설업</t>
  </si>
  <si>
    <t>종목</t>
  </si>
  <si>
    <t>토목공사업, 건축공사업</t>
  </si>
  <si>
    <t>주소</t>
  </si>
  <si>
    <t>회계연도</t>
  </si>
  <si>
    <t>2026</t>
  </si>
  <si>
    <t>부가세율</t>
  </si>
  <si>
    <t>■ 4대보험 요율 (근로자 부담분, 2026년 기준 — 매년 확인)</t>
  </si>
  <si>
    <t>국민연금</t>
  </si>
  <si>
    <t>건강보험</t>
  </si>
  <si>
    <t>장기요양(건강보험료의 %)</t>
  </si>
  <si>
    <t>고용보험</t>
  </si>
  <si>
    <t>■ 코드 목록 (드롭다운 원본 — 항목은 아래로 추가 가능)</t>
  </si>
  <si>
    <t>거래처구분</t>
  </si>
  <si>
    <t>공사구분</t>
  </si>
  <si>
    <t>진행상태</t>
  </si>
  <si>
    <t>청구구분</t>
  </si>
  <si>
    <t>계정과목</t>
  </si>
  <si>
    <t>부서</t>
  </si>
  <si>
    <t>직급</t>
  </si>
  <si>
    <t>재직상태</t>
  </si>
  <si>
    <t>계좌</t>
  </si>
  <si>
    <t>자금구분</t>
  </si>
  <si>
    <t>자금항목</t>
  </si>
  <si>
    <t>발주처</t>
  </si>
  <si>
    <t>관급공사</t>
  </si>
  <si>
    <t>견적/입찰</t>
  </si>
  <si>
    <t>선급금</t>
  </si>
  <si>
    <t>자재비</t>
  </si>
  <si>
    <t>임원</t>
  </si>
  <si>
    <t>대표이사</t>
  </si>
  <si>
    <t>재직</t>
  </si>
  <si>
    <t>기업은행(주거래)</t>
  </si>
  <si>
    <t>기초</t>
  </si>
  <si>
    <t>기초잔액</t>
  </si>
  <si>
    <t>외주/협력사</t>
  </si>
  <si>
    <t>민간공사</t>
  </si>
  <si>
    <t>계약</t>
  </si>
  <si>
    <t>기성금</t>
  </si>
  <si>
    <t>외주비</t>
  </si>
  <si>
    <t>경영지원부</t>
  </si>
  <si>
    <t>이사</t>
  </si>
  <si>
    <t>휴직</t>
  </si>
  <si>
    <t>국민은행</t>
  </si>
  <si>
    <t>입금</t>
  </si>
  <si>
    <t>공사대금입금</t>
  </si>
  <si>
    <t>자재업체</t>
  </si>
  <si>
    <t>하도급공사</t>
  </si>
  <si>
    <t>진행중</t>
  </si>
  <si>
    <t>준공금</t>
  </si>
  <si>
    <t>노무비</t>
  </si>
  <si>
    <t>공무부</t>
  </si>
  <si>
    <t>부장</t>
  </si>
  <si>
    <t>퇴사</t>
  </si>
  <si>
    <t>농협</t>
  </si>
  <si>
    <t>출금</t>
  </si>
  <si>
    <t>기타입금</t>
  </si>
  <si>
    <t>장비업체</t>
  </si>
  <si>
    <t>용역/설계</t>
  </si>
  <si>
    <t>준공</t>
  </si>
  <si>
    <t>추가공사</t>
  </si>
  <si>
    <t>장비임차료</t>
  </si>
  <si>
    <t>공사부</t>
  </si>
  <si>
    <t>차장</t>
  </si>
  <si>
    <t>자재대금</t>
  </si>
  <si>
    <t>용역</t>
  </si>
  <si>
    <t>기타</t>
  </si>
  <si>
    <t>하자보수</t>
  </si>
  <si>
    <t>현장경비</t>
  </si>
  <si>
    <t>안전관리부</t>
  </si>
  <si>
    <t>과장</t>
  </si>
  <si>
    <t>외주비지급</t>
  </si>
  <si>
    <t>중단/보류</t>
  </si>
  <si>
    <t>일반관리비</t>
  </si>
  <si>
    <t>영업부</t>
  </si>
  <si>
    <t>대리</t>
  </si>
  <si>
    <t>노무비지급</t>
  </si>
  <si>
    <t>세금과공과</t>
  </si>
  <si>
    <t>주임</t>
  </si>
  <si>
    <t>장비대금</t>
  </si>
  <si>
    <t>사원</t>
  </si>
  <si>
    <t>급여</t>
  </si>
  <si>
    <t>4대보험</t>
  </si>
  <si>
    <t>세금</t>
  </si>
  <si>
    <t>임차료</t>
  </si>
  <si>
    <t>운영비</t>
  </si>
  <si>
    <t>기타출금</t>
  </si>
  <si>
    <t>거래처명</t>
  </si>
  <si>
    <t>구분</t>
  </si>
  <si>
    <t>사업자번호</t>
  </si>
  <si>
    <t>담당자</t>
  </si>
  <si>
    <t>연락처</t>
  </si>
  <si>
    <t>이메일</t>
  </si>
  <si>
    <t>주요거래내용</t>
  </si>
  <si>
    <t>결제조건</t>
  </si>
  <si>
    <t>비고</t>
  </si>
  <si>
    <t>C001</t>
  </si>
  <si>
    <t>한국토지주택공사(LH)</t>
  </si>
  <si>
    <t>129-82-00001</t>
  </si>
  <si>
    <t>-</t>
  </si>
  <si>
    <t>김주택</t>
  </si>
  <si>
    <t>055-000-0001</t>
  </si>
  <si>
    <t>lh@sample.kr</t>
  </si>
  <si>
    <t>관급공사 발주</t>
  </si>
  <si>
    <t>기성 청구 후 30일</t>
  </si>
  <si>
    <t>C002</t>
  </si>
  <si>
    <t>성남시청</t>
  </si>
  <si>
    <t>129-83-00002</t>
  </si>
  <si>
    <t>박도로</t>
  </si>
  <si>
    <t>031-000-0002</t>
  </si>
  <si>
    <t>seongnam@sample.kr</t>
  </si>
  <si>
    <t>C003</t>
  </si>
  <si>
    <t>(주)대명디앤씨</t>
  </si>
  <si>
    <t>220-81-00003</t>
  </si>
  <si>
    <t>이대명</t>
  </si>
  <si>
    <t>최시행</t>
  </si>
  <si>
    <t>02-000-0003</t>
  </si>
  <si>
    <t>dm@sample.kr</t>
  </si>
  <si>
    <t>민간 개발사업 발주</t>
  </si>
  <si>
    <t>기성 청구 후 45일</t>
  </si>
  <si>
    <t>민간 시행사</t>
  </si>
  <si>
    <t>C004</t>
  </si>
  <si>
    <t>(주)한빛종합건설</t>
  </si>
  <si>
    <t>214-81-00004</t>
  </si>
  <si>
    <t>정한빛</t>
  </si>
  <si>
    <t>김원청</t>
  </si>
  <si>
    <t>02-000-0004</t>
  </si>
  <si>
    <t>hanbit@sample.kr</t>
  </si>
  <si>
    <t>하도급 공사 원청</t>
  </si>
  <si>
    <t>기성 청구 후 60일</t>
  </si>
  <si>
    <t>원청사</t>
  </si>
  <si>
    <t>C005</t>
  </si>
  <si>
    <t>(주)동성레미콘</t>
  </si>
  <si>
    <t>135-81-00005</t>
  </si>
  <si>
    <t>송동성</t>
  </si>
  <si>
    <t>이납품</t>
  </si>
  <si>
    <t>031-000-0005</t>
  </si>
  <si>
    <t>ds@sample.kr</t>
  </si>
  <si>
    <t>레미콘</t>
  </si>
  <si>
    <t>월말 마감 익월 말 지급</t>
  </si>
  <si>
    <t>C006</t>
  </si>
  <si>
    <t>대한철강(주)</t>
  </si>
  <si>
    <t>606-81-00006</t>
  </si>
  <si>
    <t>강대한</t>
  </si>
  <si>
    <t>박철근</t>
  </si>
  <si>
    <t>032-000-0006</t>
  </si>
  <si>
    <t>dh@sample.kr</t>
  </si>
  <si>
    <t>철근·형강</t>
  </si>
  <si>
    <t>C007</t>
  </si>
  <si>
    <t>(주)세움전기</t>
  </si>
  <si>
    <t>124-81-00007</t>
  </si>
  <si>
    <t>한세움</t>
  </si>
  <si>
    <t>전기사</t>
  </si>
  <si>
    <t>031-000-0007</t>
  </si>
  <si>
    <t>sw@sample.kr</t>
  </si>
  <si>
    <t>전기공사 외주</t>
  </si>
  <si>
    <t>기성 지급</t>
  </si>
  <si>
    <t>C008</t>
  </si>
  <si>
    <t>신화설비(주)</t>
  </si>
  <si>
    <t>142-81-00008</t>
  </si>
  <si>
    <t>오신화</t>
  </si>
  <si>
    <t>설비왕</t>
  </si>
  <si>
    <t>031-000-0008</t>
  </si>
  <si>
    <t>sh@sample.kr</t>
  </si>
  <si>
    <t>기계설비 외주</t>
  </si>
  <si>
    <t>C009</t>
  </si>
  <si>
    <t>(주)그린조경</t>
  </si>
  <si>
    <t>215-81-00009</t>
  </si>
  <si>
    <t>임그린</t>
  </si>
  <si>
    <t>나조경</t>
  </si>
  <si>
    <t>031-000-0009</t>
  </si>
  <si>
    <t>green@sample.kr</t>
  </si>
  <si>
    <t>조경공사 외주</t>
  </si>
  <si>
    <t>C010</t>
  </si>
  <si>
    <t>대성중기</t>
  </si>
  <si>
    <t>128-12-00010</t>
  </si>
  <si>
    <t>유대성</t>
  </si>
  <si>
    <t>장비맨</t>
  </si>
  <si>
    <t>010-0000-0010</t>
  </si>
  <si>
    <t>dsj@sample.kr</t>
  </si>
  <si>
    <t>굴착기·덤프 임차</t>
  </si>
  <si>
    <t>C011</t>
  </si>
  <si>
    <t>(주)한솔산업안전</t>
  </si>
  <si>
    <t>119-81-00011</t>
  </si>
  <si>
    <t>조한솔</t>
  </si>
  <si>
    <t>안전제</t>
  </si>
  <si>
    <t>02-000-0011</t>
  </si>
  <si>
    <t>hansol@sample.kr</t>
  </si>
  <si>
    <t>안전관리 위탁</t>
  </si>
  <si>
    <t>분기 선지급</t>
  </si>
  <si>
    <t>C012</t>
  </si>
  <si>
    <t>김앤리세무회계</t>
  </si>
  <si>
    <t>101-11-00012</t>
  </si>
  <si>
    <t>김세무</t>
  </si>
  <si>
    <t>리회계</t>
  </si>
  <si>
    <t>02-000-0012</t>
  </si>
  <si>
    <t>knl@sample.kr</t>
  </si>
  <si>
    <t>기장·세무신고</t>
  </si>
  <si>
    <t>분기 후지급</t>
  </si>
  <si>
    <t>프로젝트명</t>
  </si>
  <si>
    <t>발주처코드</t>
  </si>
  <si>
    <t>발주처명</t>
  </si>
  <si>
    <t>계약일</t>
  </si>
  <si>
    <t>착공일</t>
  </si>
  <si>
    <t>준공예정일</t>
  </si>
  <si>
    <t>계약금액(공급가액,원)</t>
  </si>
  <si>
    <t>부가세(원)</t>
  </si>
  <si>
    <t>총계약금액(원)</t>
  </si>
  <si>
    <t>진행률</t>
  </si>
  <si>
    <t>PJ2025-003</t>
  </si>
  <si>
    <t>성남 수정구 도로 확포장공사</t>
  </si>
  <si>
    <t>한상길</t>
  </si>
  <si>
    <t>하자보수기간 2년(~2027-12)</t>
  </si>
  <si>
    <t>PJ2025-004</t>
  </si>
  <si>
    <t>하남 물류센터 신축 토공사(하도급)</t>
  </si>
  <si>
    <t>오민재</t>
  </si>
  <si>
    <t>PJ2026-001</t>
  </si>
  <si>
    <t>위례 근린생활시설 신축공사</t>
  </si>
  <si>
    <t>PJ2026-002</t>
  </si>
  <si>
    <t>LH 행복주택 부대토목·조경공사</t>
  </si>
  <si>
    <t>PJ2026-003</t>
  </si>
  <si>
    <t>분당 사옥 리모델링공사</t>
  </si>
  <si>
    <t>PJ2026-004</t>
  </si>
  <si>
    <t>광주 산업단지 진입도로 개설공사</t>
  </si>
  <si>
    <t>미정</t>
  </si>
  <si>
    <t>2026-08 착공 예정</t>
  </si>
  <si>
    <t>PJ2026-005</t>
  </si>
  <si>
    <t>모란 상가주택 신축 설계·인허가 용역</t>
  </si>
  <si>
    <t>최준혁</t>
  </si>
  <si>
    <t>견적 제출(6/20), 결과 대기</t>
  </si>
  <si>
    <t>청구일자</t>
  </si>
  <si>
    <t>내용</t>
  </si>
  <si>
    <t>공급가액(원)</t>
  </si>
  <si>
    <t>합계(원)</t>
  </si>
  <si>
    <t>계산서발행</t>
  </si>
  <si>
    <t>수금예정일</t>
  </si>
  <si>
    <t>수금일</t>
  </si>
  <si>
    <t>수금액(원)</t>
  </si>
  <si>
    <t>미수금(원)</t>
  </si>
  <si>
    <t>수금상태</t>
  </si>
  <si>
    <t>S-2026-001</t>
  </si>
  <si>
    <t>도로확포장공사 준공 정산금</t>
  </si>
  <si>
    <t>Y</t>
  </si>
  <si>
    <t>S-2026-002</t>
  </si>
  <si>
    <t>5회차 기성</t>
  </si>
  <si>
    <t>S-2026-003</t>
  </si>
  <si>
    <t>선급금(계약금액의 10%)</t>
  </si>
  <si>
    <t>S-2026-004</t>
  </si>
  <si>
    <t>6회차 기성</t>
  </si>
  <si>
    <t>S-2026-005</t>
  </si>
  <si>
    <t>S-2026-006</t>
  </si>
  <si>
    <t>1회차 기성</t>
  </si>
  <si>
    <t>S-2026-007</t>
  </si>
  <si>
    <t>7회차 기성</t>
  </si>
  <si>
    <t>원청 자금 사정으로 부분 수금</t>
  </si>
  <si>
    <t>S-2026-008</t>
  </si>
  <si>
    <t>S-2026-009</t>
  </si>
  <si>
    <t>2회차 기성</t>
  </si>
  <si>
    <t>S-2026-010</t>
  </si>
  <si>
    <t>S-2026-011</t>
  </si>
  <si>
    <t>8회차 기성</t>
  </si>
  <si>
    <t>N</t>
  </si>
  <si>
    <t>계산서 발행 예정</t>
  </si>
  <si>
    <t>일자</t>
  </si>
  <si>
    <t>지급예정일</t>
  </si>
  <si>
    <t>지급일</t>
  </si>
  <si>
    <t>지급액(원)</t>
  </si>
  <si>
    <t>미지급금(원)</t>
  </si>
  <si>
    <t>지급상태</t>
  </si>
  <si>
    <t>P-2026-001</t>
  </si>
  <si>
    <t>굴착기·덤프 임차(1월)</t>
  </si>
  <si>
    <t>P-2026-002</t>
  </si>
  <si>
    <t>레미콘 타설(기초)</t>
  </si>
  <si>
    <t>P-2026-003</t>
  </si>
  <si>
    <t>철근 1차 납품</t>
  </si>
  <si>
    <t>P-2026-004</t>
  </si>
  <si>
    <t>전기공사 1차 기성</t>
  </si>
  <si>
    <t>P-2026-005</t>
  </si>
  <si>
    <t>굴착기·덤프 임차(3월)</t>
  </si>
  <si>
    <t>P-2026-006</t>
  </si>
  <si>
    <t>기장수수료(1분기)</t>
  </si>
  <si>
    <t>본사</t>
  </si>
  <si>
    <t>P-2026-007</t>
  </si>
  <si>
    <t>조경 식재 1차 기성</t>
  </si>
  <si>
    <t>P-2026-008</t>
  </si>
  <si>
    <t>레미콘(골조)</t>
  </si>
  <si>
    <t>P-2026-009</t>
  </si>
  <si>
    <t>직영 노무비(4월)</t>
  </si>
  <si>
    <t>면세(부가세 없음)</t>
  </si>
  <si>
    <t>P-2026-010</t>
  </si>
  <si>
    <t>설비공사 1차 기성</t>
  </si>
  <si>
    <t>P-2026-011</t>
  </si>
  <si>
    <t>경계석 등 자재</t>
  </si>
  <si>
    <t>P-2026-012</t>
  </si>
  <si>
    <t>안전관리 위탁용역(상반기)</t>
  </si>
  <si>
    <t>P-2026-013</t>
  </si>
  <si>
    <t>레미콘(3층 슬라브)</t>
  </si>
  <si>
    <t>P-2026-014</t>
  </si>
  <si>
    <t>전기공사 2차 기성</t>
  </si>
  <si>
    <t>P-2026-015</t>
  </si>
  <si>
    <t>조경 식재 2차 기성</t>
  </si>
  <si>
    <t>P-2026-016</t>
  </si>
  <si>
    <t>철거·정리 장비(6월)</t>
  </si>
  <si>
    <t>P-2026-017</t>
  </si>
  <si>
    <t>직영 노무비(6월)</t>
  </si>
  <si>
    <t>P-2026-018</t>
  </si>
  <si>
    <t>기장수수료(2분기)</t>
  </si>
  <si>
    <t>항목</t>
  </si>
  <si>
    <t>관련거래처</t>
  </si>
  <si>
    <t>입금액(원)</t>
  </si>
  <si>
    <t>출금액(원)</t>
  </si>
  <si>
    <t>잔액(원)</t>
  </si>
  <si>
    <t>2026년 기초잔액</t>
  </si>
  <si>
    <t>물류센터 토공사 5회차 기성</t>
  </si>
  <si>
    <t>위례 근생 선급금</t>
  </si>
  <si>
    <t>3월 급여</t>
  </si>
  <si>
    <t>레미콘 대금(2월분)</t>
  </si>
  <si>
    <t>철근 대금(2월분)</t>
  </si>
  <si>
    <t>LH 행복주택 선급금</t>
  </si>
  <si>
    <t>물류센터 토공사 6회차 기성</t>
  </si>
  <si>
    <t>5월 급여</t>
  </si>
  <si>
    <t>위례 근생 1회차 기성</t>
  </si>
  <si>
    <t>부가가치세 예정 고지 납부</t>
  </si>
  <si>
    <t>LH 행복주택 1회차 기성</t>
  </si>
  <si>
    <t>6월 급여</t>
  </si>
  <si>
    <t>물류센터 7회차 기성(부분)</t>
  </si>
  <si>
    <t>본사 사무실 임차료(7월)</t>
  </si>
  <si>
    <t>성명</t>
  </si>
  <si>
    <t>입사일</t>
  </si>
  <si>
    <t>휴대폰</t>
  </si>
  <si>
    <t>E001</t>
  </si>
  <si>
    <t>김정호</t>
  </si>
  <si>
    <t>010-0000-0001</t>
  </si>
  <si>
    <t>ceo@sjdevel.com</t>
  </si>
  <si>
    <t>E002</t>
  </si>
  <si>
    <t>박성웅</t>
  </si>
  <si>
    <t>010-0000-0002</t>
  </si>
  <si>
    <t>swpark@sjdevel.com</t>
  </si>
  <si>
    <t>공사 총괄</t>
  </si>
  <si>
    <t>E003</t>
  </si>
  <si>
    <t>이미란</t>
  </si>
  <si>
    <t>010-0000-0003</t>
  </si>
  <si>
    <t>mrlee@sjdevel.com</t>
  </si>
  <si>
    <t>E004</t>
  </si>
  <si>
    <t>010-0000-0004</t>
  </si>
  <si>
    <t>sghan@sjdevel.com</t>
  </si>
  <si>
    <t>현장소장</t>
  </si>
  <si>
    <t>E005</t>
  </si>
  <si>
    <t>010-0000-0005</t>
  </si>
  <si>
    <t>jhchoi@sjdevel.com</t>
  </si>
  <si>
    <t>E006</t>
  </si>
  <si>
    <t>010-0000-0006</t>
  </si>
  <si>
    <t>mjoh@sjdevel.com</t>
  </si>
  <si>
    <t>E007</t>
  </si>
  <si>
    <t>정다은</t>
  </si>
  <si>
    <t>010-0000-0007</t>
  </si>
  <si>
    <t>dejung@sjdevel.com</t>
  </si>
  <si>
    <t>E008</t>
  </si>
  <si>
    <t>강지훈</t>
  </si>
  <si>
    <t>010-0000-0008</t>
  </si>
  <si>
    <t>jhkang@sjdevel.com</t>
  </si>
  <si>
    <t>E009</t>
  </si>
  <si>
    <t>윤소라</t>
  </si>
  <si>
    <t>010-0000-0009</t>
  </si>
  <si>
    <t>2026-03-31 퇴사</t>
  </si>
  <si>
    <t>귀속연월</t>
  </si>
  <si>
    <t>기본급(원)</t>
  </si>
  <si>
    <t>제수당(원)</t>
  </si>
  <si>
    <t>지급총액(원)</t>
  </si>
  <si>
    <t>국민연금(원)</t>
  </si>
  <si>
    <t>건강보험(원)</t>
  </si>
  <si>
    <t>장기요양(원)</t>
  </si>
  <si>
    <t>고용보험(원)</t>
  </si>
  <si>
    <t>소득세(원)</t>
  </si>
  <si>
    <t>지방소득세(원)</t>
  </si>
  <si>
    <t>공제총액(원)</t>
  </si>
  <si>
    <t>실지급액(원)</t>
  </si>
  <si>
    <t>월별 경영 요약 — 신정개발(주)</t>
  </si>
  <si>
    <t>매출·매입·자금·프로젝트 시트를 자동 집계합니다. 이 시트에는 값을 직접 입력하지 마세요.</t>
  </si>
  <si>
    <t>진행중 프로젝트 수</t>
  </si>
  <si>
    <t>수주잔고(진행중 계약금액, 공급가액)</t>
  </si>
  <si>
    <t>누적 매출(공급가액)</t>
  </si>
  <si>
    <t>누적 매입(공급가액)</t>
  </si>
  <si>
    <t>매출총이익(매출-매입)</t>
  </si>
  <si>
    <t>미수금 잔액</t>
  </si>
  <si>
    <t>미지급금 잔액</t>
  </si>
  <si>
    <t>현금 잔액(자금일보 최종)</t>
  </si>
  <si>
    <t>월</t>
  </si>
  <si>
    <t>매출(공급가액)</t>
  </si>
  <si>
    <t>매입(공급가액)</t>
  </si>
  <si>
    <t>매출총이익</t>
  </si>
  <si>
    <t>수금액</t>
  </si>
  <si>
    <t>지급액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</si>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</sst>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%"/>
    <numFmt numFmtId="177" formatCode="0.000%"/>
    <numFmt numFmtId="178" formatCode="yyyy\-mm\-dd"/>
    <numFmt numFmtId="179" formatCode="yyyy\-mm"/>
    <numFmt numFmtId="180" formatCode="#,##0&quot;건&quot;"/>
    <numFmt numFmtId="181" formatCode="#,##0;\(#,##0\);&quot;-&quot;"/>
  </numFmts>
  <fonts count="10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8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4" fillId="0" borderId="0" xfId="0" applyFont="1"/>
    <xf numFmtId="0" fontId="2" fillId="2" borderId="0" xfId="0" applyFont="1" applyFill="1"/>
    <xf numFmtId="0" fontId="4" fillId="0" borderId="1" xfId="0" applyFont="1" applyBorder="1"/>
    <xf numFmtId="0" fontId="2" fillId="0" borderId="1" xfId="0" applyFont="1" applyBorder="1"/>
    <xf numFmtId="0" fontId="2" fillId="3" borderId="1" xfId="0" applyFont="1" applyFill="1" applyBorder="1"/>
    <xf numFmtId="0" fontId="6" fillId="0" borderId="0" xfId="0" applyFont="1"/>
    <xf numFmtId="0" fontId="5" fillId="0" borderId="1" xfId="0" applyFont="1" applyBorder="1"/>
    <xf numFmtId="9" fontId="5" fillId="0" borderId="1" xfId="0" applyNumberFormat="1" applyFont="1" applyBorder="1"/>
    <xf numFmtId="176" fontId="5" fillId="3" borderId="1" xfId="0" applyNumberFormat="1" applyFont="1" applyFill="1" applyBorder="1"/>
    <xf numFmtId="177" fontId="5" fillId="3" borderId="1" xfId="0" applyNumberFormat="1" applyFont="1" applyFill="1" applyBorder="1"/>
    <xf numFmtId="10" fontId="5" fillId="3" borderId="1" xfId="0" applyNumberFormat="1" applyFont="1" applyFill="1" applyBorder="1"/>
    <xf numFmtId="0" fontId="7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/>
    <xf numFmtId="178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/>
    <xf numFmtId="3" fontId="8" fillId="0" borderId="1" xfId="0" applyNumberFormat="1" applyFont="1" applyBorder="1"/>
    <xf numFmtId="3" fontId="2" fillId="0" borderId="1" xfId="0" applyNumberFormat="1" applyFont="1" applyBorder="1"/>
    <xf numFmtId="9" fontId="5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1" xfId="0" applyNumberFormat="1" applyBorder="1"/>
    <xf numFmtId="0" fontId="0" fillId="0" borderId="1" xfId="0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2" borderId="1" xfId="0" applyFont="1" applyFill="1" applyBorder="1"/>
    <xf numFmtId="180" fontId="8" fillId="0" borderId="1" xfId="0" applyNumberFormat="1" applyFont="1" applyBorder="1"/>
    <xf numFmtId="181" fontId="8" fillId="0" borderId="1" xfId="0" applyNumberFormat="1" applyFont="1" applyBorder="1"/>
    <xf numFmtId="181" fontId="4" fillId="0" borderId="1" xfId="0" applyNumberFormat="1" applyFont="1" applyBorder="1"/>
    <xf numFmtId="181" fontId="2" fillId="0" borderId="1" xfId="0" applyNumberFormat="1" applyFont="1" applyBorder="1"/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B1:D41"/>
  <sheetViews>
    <sheetView tabSelected="1" workbookViewId="0"/>
  </sheetViews>
  <sheetFormatPr defaultRowHeight="17.399999999999999" x14ac:dyDescent="0.4"/>
  <cols>
    <col min="1" max="1" width="4" customWidth="1"/>
    <col min="2" max="2" width="16" customWidth="1"/>
    <col min="3" max="3" width="60" customWidth="1"/>
    <col min="4" max="4" width="40" customWidth="1"/>
  </cols>
  <sheetData>
    <row r="1" spans="2:4" ht="21" x14ac:dyDescent="0.45">
      <c r="B1" s="1" t="s">
        <v>0</v>
      </c>
    </row>
    <row r="2" spans="2:4" x14ac:dyDescent="0.4">
      <c r="B2" s="2" t="s">
        <v>1</v>
      </c>
    </row>
    <row r="3" spans="2:4" x14ac:dyDescent="0.4">
      <c r="B3" s="3" t="s">
        <v>2</v>
      </c>
    </row>
    <row r="5" spans="2:4" x14ac:dyDescent="0.4">
      <c r="B5" s="4" t="s">
        <v>3</v>
      </c>
      <c r="C5" s="5"/>
      <c r="D5" s="5"/>
    </row>
    <row r="6" spans="2:4" x14ac:dyDescent="0.4">
      <c r="B6" s="6" t="s">
        <v>4</v>
      </c>
      <c r="C6" s="2" t="s">
        <v>5</v>
      </c>
    </row>
    <row r="7" spans="2:4" x14ac:dyDescent="0.4">
      <c r="B7" s="6" t="s">
        <v>6</v>
      </c>
      <c r="C7" s="2" t="s">
        <v>7</v>
      </c>
    </row>
    <row r="8" spans="2:4" x14ac:dyDescent="0.4">
      <c r="B8" s="6" t="s">
        <v>8</v>
      </c>
      <c r="C8" s="2" t="s">
        <v>9</v>
      </c>
    </row>
    <row r="9" spans="2:4" x14ac:dyDescent="0.4">
      <c r="B9" s="6" t="s">
        <v>10</v>
      </c>
      <c r="C9" s="2" t="s">
        <v>11</v>
      </c>
    </row>
    <row r="10" spans="2:4" x14ac:dyDescent="0.4">
      <c r="B10" s="6" t="s">
        <v>12</v>
      </c>
      <c r="C10" s="2" t="s">
        <v>13</v>
      </c>
    </row>
    <row r="11" spans="2:4" x14ac:dyDescent="0.4">
      <c r="B11" s="6" t="s">
        <v>14</v>
      </c>
      <c r="C11" s="2" t="s">
        <v>15</v>
      </c>
    </row>
    <row r="12" spans="2:4" x14ac:dyDescent="0.4">
      <c r="B12" s="6" t="s">
        <v>16</v>
      </c>
      <c r="C12" s="2" t="s">
        <v>17</v>
      </c>
    </row>
    <row r="13" spans="2:4" x14ac:dyDescent="0.4">
      <c r="B13" s="6" t="s">
        <v>18</v>
      </c>
      <c r="C13" s="2" t="s">
        <v>19</v>
      </c>
    </row>
    <row r="14" spans="2:4" x14ac:dyDescent="0.4">
      <c r="B14" s="6" t="s">
        <v>20</v>
      </c>
      <c r="C14" s="2" t="s">
        <v>21</v>
      </c>
    </row>
    <row r="16" spans="2:4" x14ac:dyDescent="0.4">
      <c r="B16" s="4" t="s">
        <v>22</v>
      </c>
      <c r="C16" s="5"/>
      <c r="D16" s="5"/>
    </row>
    <row r="17" spans="2:4" x14ac:dyDescent="0.4">
      <c r="B17" s="2" t="s">
        <v>23</v>
      </c>
    </row>
    <row r="18" spans="2:4" x14ac:dyDescent="0.4">
      <c r="B18" s="2" t="s">
        <v>24</v>
      </c>
    </row>
    <row r="19" spans="2:4" x14ac:dyDescent="0.4">
      <c r="B19" s="2" t="s">
        <v>25</v>
      </c>
    </row>
    <row r="20" spans="2:4" x14ac:dyDescent="0.4">
      <c r="B20" s="2" t="s">
        <v>26</v>
      </c>
    </row>
    <row r="21" spans="2:4" x14ac:dyDescent="0.4">
      <c r="B21" s="2" t="s">
        <v>27</v>
      </c>
    </row>
    <row r="22" spans="2:4" x14ac:dyDescent="0.4">
      <c r="B22" s="2" t="s">
        <v>28</v>
      </c>
    </row>
    <row r="24" spans="2:4" x14ac:dyDescent="0.4">
      <c r="B24" s="4" t="s">
        <v>29</v>
      </c>
      <c r="C24" s="5"/>
      <c r="D24" s="5"/>
    </row>
    <row r="25" spans="2:4" x14ac:dyDescent="0.4">
      <c r="B25" s="6" t="s">
        <v>30</v>
      </c>
      <c r="C25" s="2" t="s">
        <v>31</v>
      </c>
    </row>
    <row r="26" spans="2:4" x14ac:dyDescent="0.4">
      <c r="B26" s="6" t="s">
        <v>32</v>
      </c>
      <c r="C26" s="2" t="s">
        <v>33</v>
      </c>
    </row>
    <row r="27" spans="2:4" x14ac:dyDescent="0.4">
      <c r="B27" s="6" t="s">
        <v>34</v>
      </c>
      <c r="C27" s="2" t="s">
        <v>35</v>
      </c>
    </row>
    <row r="28" spans="2:4" x14ac:dyDescent="0.4">
      <c r="B28" s="6" t="s">
        <v>36</v>
      </c>
      <c r="C28" s="2" t="s">
        <v>37</v>
      </c>
    </row>
    <row r="29" spans="2:4" x14ac:dyDescent="0.4">
      <c r="B29" s="6" t="s">
        <v>38</v>
      </c>
      <c r="C29" s="2" t="s">
        <v>39</v>
      </c>
    </row>
    <row r="31" spans="2:4" x14ac:dyDescent="0.4">
      <c r="B31" s="4" t="s">
        <v>40</v>
      </c>
      <c r="C31" s="5"/>
      <c r="D31" s="5"/>
    </row>
    <row r="32" spans="2:4" x14ac:dyDescent="0.4">
      <c r="B32" s="6" t="s">
        <v>41</v>
      </c>
      <c r="C32" s="2" t="s">
        <v>42</v>
      </c>
    </row>
    <row r="33" spans="2:4" x14ac:dyDescent="0.4">
      <c r="B33" s="6" t="s">
        <v>43</v>
      </c>
      <c r="C33" s="2" t="s">
        <v>44</v>
      </c>
    </row>
    <row r="34" spans="2:4" x14ac:dyDescent="0.4">
      <c r="B34" s="6" t="s">
        <v>45</v>
      </c>
      <c r="C34" s="2" t="s">
        <v>46</v>
      </c>
    </row>
    <row r="35" spans="2:4" x14ac:dyDescent="0.4">
      <c r="B35" s="6" t="s">
        <v>47</v>
      </c>
      <c r="C35" s="2" t="s">
        <v>48</v>
      </c>
    </row>
    <row r="37" spans="2:4" x14ac:dyDescent="0.4">
      <c r="B37" s="4" t="s">
        <v>49</v>
      </c>
      <c r="C37" s="5"/>
      <c r="D37" s="5"/>
    </row>
    <row r="38" spans="2:4" x14ac:dyDescent="0.4">
      <c r="B38" s="2" t="s">
        <v>50</v>
      </c>
    </row>
    <row r="39" spans="2:4" x14ac:dyDescent="0.4">
      <c r="B39" s="2" t="s">
        <v>51</v>
      </c>
    </row>
    <row r="40" spans="2:4" x14ac:dyDescent="0.4">
      <c r="B40" s="2" t="s">
        <v>52</v>
      </c>
    </row>
    <row r="41" spans="2:4" x14ac:dyDescent="0.4">
      <c r="B41" s="2" t="s">
        <v>53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A6A6A6"/>
  </sheetPr>
  <dimension ref="A1:K31"/>
  <sheetViews>
    <sheetView workbookViewId="0"/>
  </sheetViews>
  <sheetFormatPr defaultRowHeight="17.399999999999999" x14ac:dyDescent="0.4"/>
  <cols>
    <col min="1" max="1" width="24" customWidth="1"/>
    <col min="2" max="2" width="22" customWidth="1"/>
    <col min="3" max="11" width="16" customWidth="1"/>
  </cols>
  <sheetData>
    <row r="1" spans="1:3" x14ac:dyDescent="0.4">
      <c r="A1" s="4" t="s">
        <v>54</v>
      </c>
      <c r="B1" s="7"/>
    </row>
    <row r="2" spans="1:3" x14ac:dyDescent="0.4">
      <c r="A2" s="8" t="s">
        <v>55</v>
      </c>
      <c r="B2" s="9" t="s">
        <v>56</v>
      </c>
    </row>
    <row r="3" spans="1:3" x14ac:dyDescent="0.4">
      <c r="A3" s="8" t="s">
        <v>57</v>
      </c>
      <c r="B3" s="10" t="s">
        <v>58</v>
      </c>
    </row>
    <row r="4" spans="1:3" x14ac:dyDescent="0.4">
      <c r="A4" s="8" t="s">
        <v>59</v>
      </c>
      <c r="B4" s="10" t="s">
        <v>60</v>
      </c>
      <c r="C4" s="11" t="s">
        <v>61</v>
      </c>
    </row>
    <row r="5" spans="1:3" x14ac:dyDescent="0.4">
      <c r="A5" s="8" t="s">
        <v>62</v>
      </c>
      <c r="B5" s="9" t="s">
        <v>63</v>
      </c>
    </row>
    <row r="6" spans="1:3" x14ac:dyDescent="0.4">
      <c r="A6" s="8" t="s">
        <v>64</v>
      </c>
      <c r="B6" s="9" t="s">
        <v>65</v>
      </c>
    </row>
    <row r="7" spans="1:3" x14ac:dyDescent="0.4">
      <c r="A7" s="8" t="s">
        <v>66</v>
      </c>
      <c r="B7" s="10" t="s">
        <v>58</v>
      </c>
    </row>
    <row r="8" spans="1:3" x14ac:dyDescent="0.4">
      <c r="A8" s="8" t="s">
        <v>67</v>
      </c>
      <c r="B8" s="12" t="s">
        <v>68</v>
      </c>
    </row>
    <row r="9" spans="1:3" x14ac:dyDescent="0.4">
      <c r="A9" s="8" t="s">
        <v>69</v>
      </c>
      <c r="B9" s="13">
        <v>0.1</v>
      </c>
    </row>
    <row r="11" spans="1:3" x14ac:dyDescent="0.4">
      <c r="A11" s="4" t="s">
        <v>70</v>
      </c>
      <c r="B11" s="7"/>
    </row>
    <row r="12" spans="1:3" x14ac:dyDescent="0.4">
      <c r="A12" s="8" t="s">
        <v>71</v>
      </c>
      <c r="B12" s="14">
        <v>4.4999999999999998E-2</v>
      </c>
    </row>
    <row r="13" spans="1:3" x14ac:dyDescent="0.4">
      <c r="A13" s="8" t="s">
        <v>72</v>
      </c>
      <c r="B13" s="15">
        <v>3.5450000000000002E-2</v>
      </c>
    </row>
    <row r="14" spans="1:3" x14ac:dyDescent="0.4">
      <c r="A14" s="8" t="s">
        <v>73</v>
      </c>
      <c r="B14" s="16">
        <v>0.1295</v>
      </c>
    </row>
    <row r="15" spans="1:3" x14ac:dyDescent="0.4">
      <c r="A15" s="8" t="s">
        <v>74</v>
      </c>
      <c r="B15" s="14">
        <v>8.9999999999999993E-3</v>
      </c>
    </row>
    <row r="17" spans="1:11" x14ac:dyDescent="0.4">
      <c r="A17" s="4" t="s">
        <v>75</v>
      </c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4">
      <c r="A18" s="17" t="s">
        <v>76</v>
      </c>
      <c r="B18" s="17" t="s">
        <v>77</v>
      </c>
      <c r="C18" s="17" t="s">
        <v>78</v>
      </c>
      <c r="D18" s="17" t="s">
        <v>79</v>
      </c>
      <c r="E18" s="17" t="s">
        <v>80</v>
      </c>
      <c r="F18" s="17" t="s">
        <v>81</v>
      </c>
      <c r="G18" s="17" t="s">
        <v>82</v>
      </c>
      <c r="H18" s="17" t="s">
        <v>83</v>
      </c>
      <c r="I18" s="17" t="s">
        <v>84</v>
      </c>
      <c r="J18" s="17" t="s">
        <v>85</v>
      </c>
      <c r="K18" s="17" t="s">
        <v>86</v>
      </c>
    </row>
    <row r="19" spans="1:11" x14ac:dyDescent="0.4">
      <c r="A19" s="9" t="s">
        <v>87</v>
      </c>
      <c r="B19" s="9" t="s">
        <v>88</v>
      </c>
      <c r="C19" s="9" t="s">
        <v>89</v>
      </c>
      <c r="D19" s="9" t="s">
        <v>90</v>
      </c>
      <c r="E19" s="9" t="s">
        <v>91</v>
      </c>
      <c r="F19" s="9" t="s">
        <v>92</v>
      </c>
      <c r="G19" s="9" t="s">
        <v>93</v>
      </c>
      <c r="H19" s="9" t="s">
        <v>94</v>
      </c>
      <c r="I19" s="9" t="s">
        <v>95</v>
      </c>
      <c r="J19" s="9" t="s">
        <v>96</v>
      </c>
      <c r="K19" s="9" t="s">
        <v>97</v>
      </c>
    </row>
    <row r="20" spans="1:11" x14ac:dyDescent="0.4">
      <c r="A20" s="9" t="s">
        <v>98</v>
      </c>
      <c r="B20" s="9" t="s">
        <v>99</v>
      </c>
      <c r="C20" s="9" t="s">
        <v>100</v>
      </c>
      <c r="D20" s="9" t="s">
        <v>101</v>
      </c>
      <c r="E20" s="9" t="s">
        <v>102</v>
      </c>
      <c r="F20" s="9" t="s">
        <v>103</v>
      </c>
      <c r="G20" s="9" t="s">
        <v>104</v>
      </c>
      <c r="H20" s="9" t="s">
        <v>105</v>
      </c>
      <c r="I20" s="9" t="s">
        <v>106</v>
      </c>
      <c r="J20" s="9" t="s">
        <v>107</v>
      </c>
      <c r="K20" s="9" t="s">
        <v>108</v>
      </c>
    </row>
    <row r="21" spans="1:11" x14ac:dyDescent="0.4">
      <c r="A21" s="9" t="s">
        <v>109</v>
      </c>
      <c r="B21" s="9" t="s">
        <v>110</v>
      </c>
      <c r="C21" s="9" t="s">
        <v>111</v>
      </c>
      <c r="D21" s="9" t="s">
        <v>112</v>
      </c>
      <c r="E21" s="9" t="s">
        <v>113</v>
      </c>
      <c r="F21" s="9" t="s">
        <v>114</v>
      </c>
      <c r="G21" s="9" t="s">
        <v>115</v>
      </c>
      <c r="H21" s="9" t="s">
        <v>116</v>
      </c>
      <c r="I21" s="9" t="s">
        <v>117</v>
      </c>
      <c r="J21" s="9" t="s">
        <v>118</v>
      </c>
      <c r="K21" s="9" t="s">
        <v>119</v>
      </c>
    </row>
    <row r="22" spans="1:11" x14ac:dyDescent="0.4">
      <c r="A22" s="9" t="s">
        <v>120</v>
      </c>
      <c r="B22" s="9" t="s">
        <v>121</v>
      </c>
      <c r="C22" s="9" t="s">
        <v>122</v>
      </c>
      <c r="D22" s="9" t="s">
        <v>123</v>
      </c>
      <c r="E22" s="9" t="s">
        <v>124</v>
      </c>
      <c r="F22" s="9" t="s">
        <v>125</v>
      </c>
      <c r="G22" s="9" t="s">
        <v>126</v>
      </c>
      <c r="K22" s="9" t="s">
        <v>127</v>
      </c>
    </row>
    <row r="23" spans="1:11" x14ac:dyDescent="0.4">
      <c r="A23" s="9" t="s">
        <v>128</v>
      </c>
      <c r="B23" s="9" t="s">
        <v>129</v>
      </c>
      <c r="C23" s="9" t="s">
        <v>130</v>
      </c>
      <c r="D23" s="9" t="s">
        <v>129</v>
      </c>
      <c r="E23" s="9" t="s">
        <v>131</v>
      </c>
      <c r="F23" s="9" t="s">
        <v>132</v>
      </c>
      <c r="G23" s="9" t="s">
        <v>133</v>
      </c>
      <c r="K23" s="9" t="s">
        <v>134</v>
      </c>
    </row>
    <row r="24" spans="1:11" x14ac:dyDescent="0.4">
      <c r="A24" s="9" t="s">
        <v>129</v>
      </c>
      <c r="C24" s="9" t="s">
        <v>135</v>
      </c>
      <c r="E24" s="9" t="s">
        <v>136</v>
      </c>
      <c r="F24" s="9" t="s">
        <v>137</v>
      </c>
      <c r="G24" s="9" t="s">
        <v>138</v>
      </c>
      <c r="K24" s="9" t="s">
        <v>139</v>
      </c>
    </row>
    <row r="25" spans="1:11" x14ac:dyDescent="0.4">
      <c r="E25" s="9" t="s">
        <v>140</v>
      </c>
      <c r="G25" s="9" t="s">
        <v>141</v>
      </c>
      <c r="K25" s="9" t="s">
        <v>142</v>
      </c>
    </row>
    <row r="26" spans="1:11" x14ac:dyDescent="0.4">
      <c r="E26" s="9" t="s">
        <v>129</v>
      </c>
      <c r="G26" s="9" t="s">
        <v>143</v>
      </c>
      <c r="K26" s="9" t="s">
        <v>144</v>
      </c>
    </row>
    <row r="27" spans="1:11" x14ac:dyDescent="0.4">
      <c r="K27" s="9" t="s">
        <v>145</v>
      </c>
    </row>
    <row r="28" spans="1:11" x14ac:dyDescent="0.4">
      <c r="K28" s="9" t="s">
        <v>146</v>
      </c>
    </row>
    <row r="29" spans="1:11" x14ac:dyDescent="0.4">
      <c r="K29" s="9" t="s">
        <v>147</v>
      </c>
    </row>
    <row r="30" spans="1:11" x14ac:dyDescent="0.4">
      <c r="K30" s="9" t="s">
        <v>148</v>
      </c>
    </row>
    <row r="31" spans="1:11" x14ac:dyDescent="0.4">
      <c r="K31" s="9" t="s">
        <v>149</v>
      </c>
    </row>
  </sheetData>
  <phoneticPr fontId="9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K13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10" customWidth="1"/>
    <col min="2" max="2" width="22" customWidth="1"/>
    <col min="3" max="3" width="12" customWidth="1"/>
    <col min="4" max="4" width="14" customWidth="1"/>
    <col min="5" max="6" width="9" customWidth="1"/>
    <col min="7" max="7" width="14" customWidth="1"/>
    <col min="8" max="8" width="20" customWidth="1"/>
    <col min="9" max="10" width="22" customWidth="1"/>
    <col min="11" max="11" width="14" customWidth="1"/>
  </cols>
  <sheetData>
    <row r="1" spans="1:11" x14ac:dyDescent="0.4">
      <c r="A1" s="17" t="s">
        <v>30</v>
      </c>
      <c r="B1" s="17" t="s">
        <v>150</v>
      </c>
      <c r="C1" s="17" t="s">
        <v>151</v>
      </c>
      <c r="D1" s="17" t="s">
        <v>152</v>
      </c>
      <c r="E1" s="17" t="s">
        <v>57</v>
      </c>
      <c r="F1" s="17" t="s">
        <v>153</v>
      </c>
      <c r="G1" s="17" t="s">
        <v>154</v>
      </c>
      <c r="H1" s="17" t="s">
        <v>155</v>
      </c>
      <c r="I1" s="17" t="s">
        <v>156</v>
      </c>
      <c r="J1" s="17" t="s">
        <v>157</v>
      </c>
      <c r="K1" s="17" t="s">
        <v>158</v>
      </c>
    </row>
    <row r="2" spans="1:11" x14ac:dyDescent="0.4">
      <c r="A2" s="18" t="s">
        <v>159</v>
      </c>
      <c r="B2" s="9" t="s">
        <v>160</v>
      </c>
      <c r="C2" s="18" t="s">
        <v>87</v>
      </c>
      <c r="D2" s="18" t="s">
        <v>161</v>
      </c>
      <c r="E2" s="18" t="s">
        <v>162</v>
      </c>
      <c r="F2" s="18" t="s">
        <v>163</v>
      </c>
      <c r="G2" s="18" t="s">
        <v>164</v>
      </c>
      <c r="H2" s="9" t="s">
        <v>165</v>
      </c>
      <c r="I2" s="9" t="s">
        <v>166</v>
      </c>
      <c r="J2" s="9" t="s">
        <v>167</v>
      </c>
      <c r="K2" s="9"/>
    </row>
    <row r="3" spans="1:11" x14ac:dyDescent="0.4">
      <c r="A3" s="18" t="s">
        <v>168</v>
      </c>
      <c r="B3" s="9" t="s">
        <v>169</v>
      </c>
      <c r="C3" s="18" t="s">
        <v>87</v>
      </c>
      <c r="D3" s="18" t="s">
        <v>170</v>
      </c>
      <c r="E3" s="18" t="s">
        <v>162</v>
      </c>
      <c r="F3" s="18" t="s">
        <v>171</v>
      </c>
      <c r="G3" s="18" t="s">
        <v>172</v>
      </c>
      <c r="H3" s="9" t="s">
        <v>173</v>
      </c>
      <c r="I3" s="9" t="s">
        <v>166</v>
      </c>
      <c r="J3" s="9" t="s">
        <v>167</v>
      </c>
      <c r="K3" s="9"/>
    </row>
    <row r="4" spans="1:11" x14ac:dyDescent="0.4">
      <c r="A4" s="18" t="s">
        <v>174</v>
      </c>
      <c r="B4" s="9" t="s">
        <v>175</v>
      </c>
      <c r="C4" s="18" t="s">
        <v>87</v>
      </c>
      <c r="D4" s="18" t="s">
        <v>176</v>
      </c>
      <c r="E4" s="18" t="s">
        <v>177</v>
      </c>
      <c r="F4" s="18" t="s">
        <v>178</v>
      </c>
      <c r="G4" s="18" t="s">
        <v>179</v>
      </c>
      <c r="H4" s="9" t="s">
        <v>180</v>
      </c>
      <c r="I4" s="9" t="s">
        <v>181</v>
      </c>
      <c r="J4" s="9" t="s">
        <v>182</v>
      </c>
      <c r="K4" s="9" t="s">
        <v>183</v>
      </c>
    </row>
    <row r="5" spans="1:11" x14ac:dyDescent="0.4">
      <c r="A5" s="18" t="s">
        <v>184</v>
      </c>
      <c r="B5" s="9" t="s">
        <v>185</v>
      </c>
      <c r="C5" s="18" t="s">
        <v>87</v>
      </c>
      <c r="D5" s="18" t="s">
        <v>186</v>
      </c>
      <c r="E5" s="18" t="s">
        <v>187</v>
      </c>
      <c r="F5" s="18" t="s">
        <v>188</v>
      </c>
      <c r="G5" s="18" t="s">
        <v>189</v>
      </c>
      <c r="H5" s="9" t="s">
        <v>190</v>
      </c>
      <c r="I5" s="9" t="s">
        <v>191</v>
      </c>
      <c r="J5" s="9" t="s">
        <v>192</v>
      </c>
      <c r="K5" s="9" t="s">
        <v>193</v>
      </c>
    </row>
    <row r="6" spans="1:11" x14ac:dyDescent="0.4">
      <c r="A6" s="18" t="s">
        <v>194</v>
      </c>
      <c r="B6" s="9" t="s">
        <v>195</v>
      </c>
      <c r="C6" s="18" t="s">
        <v>109</v>
      </c>
      <c r="D6" s="18" t="s">
        <v>196</v>
      </c>
      <c r="E6" s="18" t="s">
        <v>197</v>
      </c>
      <c r="F6" s="18" t="s">
        <v>198</v>
      </c>
      <c r="G6" s="18" t="s">
        <v>199</v>
      </c>
      <c r="H6" s="9" t="s">
        <v>200</v>
      </c>
      <c r="I6" s="9" t="s">
        <v>201</v>
      </c>
      <c r="J6" s="9" t="s">
        <v>202</v>
      </c>
      <c r="K6" s="9"/>
    </row>
    <row r="7" spans="1:11" x14ac:dyDescent="0.4">
      <c r="A7" s="18" t="s">
        <v>203</v>
      </c>
      <c r="B7" s="9" t="s">
        <v>204</v>
      </c>
      <c r="C7" s="18" t="s">
        <v>109</v>
      </c>
      <c r="D7" s="18" t="s">
        <v>205</v>
      </c>
      <c r="E7" s="18" t="s">
        <v>206</v>
      </c>
      <c r="F7" s="18" t="s">
        <v>207</v>
      </c>
      <c r="G7" s="18" t="s">
        <v>208</v>
      </c>
      <c r="H7" s="9" t="s">
        <v>209</v>
      </c>
      <c r="I7" s="9" t="s">
        <v>210</v>
      </c>
      <c r="J7" s="9" t="s">
        <v>202</v>
      </c>
      <c r="K7" s="9"/>
    </row>
    <row r="8" spans="1:11" x14ac:dyDescent="0.4">
      <c r="A8" s="18" t="s">
        <v>211</v>
      </c>
      <c r="B8" s="9" t="s">
        <v>212</v>
      </c>
      <c r="C8" s="18" t="s">
        <v>98</v>
      </c>
      <c r="D8" s="18" t="s">
        <v>213</v>
      </c>
      <c r="E8" s="18" t="s">
        <v>214</v>
      </c>
      <c r="F8" s="18" t="s">
        <v>215</v>
      </c>
      <c r="G8" s="18" t="s">
        <v>216</v>
      </c>
      <c r="H8" s="9" t="s">
        <v>217</v>
      </c>
      <c r="I8" s="9" t="s">
        <v>218</v>
      </c>
      <c r="J8" s="9" t="s">
        <v>219</v>
      </c>
      <c r="K8" s="9"/>
    </row>
    <row r="9" spans="1:11" x14ac:dyDescent="0.4">
      <c r="A9" s="18" t="s">
        <v>220</v>
      </c>
      <c r="B9" s="9" t="s">
        <v>221</v>
      </c>
      <c r="C9" s="18" t="s">
        <v>98</v>
      </c>
      <c r="D9" s="18" t="s">
        <v>222</v>
      </c>
      <c r="E9" s="18" t="s">
        <v>223</v>
      </c>
      <c r="F9" s="18" t="s">
        <v>224</v>
      </c>
      <c r="G9" s="18" t="s">
        <v>225</v>
      </c>
      <c r="H9" s="9" t="s">
        <v>226</v>
      </c>
      <c r="I9" s="9" t="s">
        <v>227</v>
      </c>
      <c r="J9" s="9" t="s">
        <v>219</v>
      </c>
      <c r="K9" s="9"/>
    </row>
    <row r="10" spans="1:11" x14ac:dyDescent="0.4">
      <c r="A10" s="18" t="s">
        <v>228</v>
      </c>
      <c r="B10" s="9" t="s">
        <v>229</v>
      </c>
      <c r="C10" s="18" t="s">
        <v>98</v>
      </c>
      <c r="D10" s="18" t="s">
        <v>230</v>
      </c>
      <c r="E10" s="18" t="s">
        <v>231</v>
      </c>
      <c r="F10" s="18" t="s">
        <v>232</v>
      </c>
      <c r="G10" s="18" t="s">
        <v>233</v>
      </c>
      <c r="H10" s="9" t="s">
        <v>234</v>
      </c>
      <c r="I10" s="9" t="s">
        <v>235</v>
      </c>
      <c r="J10" s="9" t="s">
        <v>219</v>
      </c>
      <c r="K10" s="9"/>
    </row>
    <row r="11" spans="1:11" x14ac:dyDescent="0.4">
      <c r="A11" s="18" t="s">
        <v>236</v>
      </c>
      <c r="B11" s="9" t="s">
        <v>237</v>
      </c>
      <c r="C11" s="18" t="s">
        <v>120</v>
      </c>
      <c r="D11" s="18" t="s">
        <v>238</v>
      </c>
      <c r="E11" s="18" t="s">
        <v>239</v>
      </c>
      <c r="F11" s="18" t="s">
        <v>240</v>
      </c>
      <c r="G11" s="18" t="s">
        <v>241</v>
      </c>
      <c r="H11" s="9" t="s">
        <v>242</v>
      </c>
      <c r="I11" s="9" t="s">
        <v>243</v>
      </c>
      <c r="J11" s="9" t="s">
        <v>202</v>
      </c>
      <c r="K11" s="9"/>
    </row>
    <row r="12" spans="1:11" x14ac:dyDescent="0.4">
      <c r="A12" s="18" t="s">
        <v>244</v>
      </c>
      <c r="B12" s="9" t="s">
        <v>245</v>
      </c>
      <c r="C12" s="18" t="s">
        <v>128</v>
      </c>
      <c r="D12" s="18" t="s">
        <v>246</v>
      </c>
      <c r="E12" s="18" t="s">
        <v>247</v>
      </c>
      <c r="F12" s="18" t="s">
        <v>248</v>
      </c>
      <c r="G12" s="18" t="s">
        <v>249</v>
      </c>
      <c r="H12" s="9" t="s">
        <v>250</v>
      </c>
      <c r="I12" s="9" t="s">
        <v>251</v>
      </c>
      <c r="J12" s="9" t="s">
        <v>252</v>
      </c>
      <c r="K12" s="9"/>
    </row>
    <row r="13" spans="1:11" x14ac:dyDescent="0.4">
      <c r="A13" s="18" t="s">
        <v>253</v>
      </c>
      <c r="B13" s="9" t="s">
        <v>254</v>
      </c>
      <c r="C13" s="18" t="s">
        <v>128</v>
      </c>
      <c r="D13" s="18" t="s">
        <v>255</v>
      </c>
      <c r="E13" s="18" t="s">
        <v>256</v>
      </c>
      <c r="F13" s="18" t="s">
        <v>257</v>
      </c>
      <c r="G13" s="18" t="s">
        <v>258</v>
      </c>
      <c r="H13" s="9" t="s">
        <v>259</v>
      </c>
      <c r="I13" s="9" t="s">
        <v>260</v>
      </c>
      <c r="J13" s="9" t="s">
        <v>261</v>
      </c>
      <c r="K13" s="9"/>
    </row>
  </sheetData>
  <autoFilter ref="A1:K13"/>
  <phoneticPr fontId="9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기준정보!$A$19:$A$24</xm:f>
          </x14:formula1>
          <xm:sqref>C2:C300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O8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12" customWidth="1"/>
    <col min="2" max="2" width="34" customWidth="1"/>
    <col min="3" max="3" width="10" customWidth="1"/>
    <col min="4" max="4" width="20" customWidth="1"/>
    <col min="5" max="8" width="11" customWidth="1"/>
    <col min="9" max="9" width="18" customWidth="1"/>
    <col min="10" max="10" width="14" customWidth="1"/>
    <col min="11" max="11" width="18" customWidth="1"/>
    <col min="12" max="12" width="10" customWidth="1"/>
    <col min="13" max="13" width="8" customWidth="1"/>
    <col min="14" max="14" width="9" customWidth="1"/>
    <col min="15" max="15" width="26" customWidth="1"/>
  </cols>
  <sheetData>
    <row r="1" spans="1:15" x14ac:dyDescent="0.4">
      <c r="A1" s="17" t="s">
        <v>32</v>
      </c>
      <c r="B1" s="17" t="s">
        <v>262</v>
      </c>
      <c r="C1" s="17" t="s">
        <v>263</v>
      </c>
      <c r="D1" s="17" t="s">
        <v>264</v>
      </c>
      <c r="E1" s="17" t="s">
        <v>77</v>
      </c>
      <c r="F1" s="17" t="s">
        <v>265</v>
      </c>
      <c r="G1" s="17" t="s">
        <v>266</v>
      </c>
      <c r="H1" s="17" t="s">
        <v>267</v>
      </c>
      <c r="I1" s="17" t="s">
        <v>268</v>
      </c>
      <c r="J1" s="17" t="s">
        <v>269</v>
      </c>
      <c r="K1" s="17" t="s">
        <v>270</v>
      </c>
      <c r="L1" s="17" t="s">
        <v>78</v>
      </c>
      <c r="M1" s="17" t="s">
        <v>271</v>
      </c>
      <c r="N1" s="17" t="s">
        <v>153</v>
      </c>
      <c r="O1" s="17" t="s">
        <v>158</v>
      </c>
    </row>
    <row r="2" spans="1:15" x14ac:dyDescent="0.4">
      <c r="A2" s="18" t="s">
        <v>272</v>
      </c>
      <c r="B2" s="9" t="s">
        <v>273</v>
      </c>
      <c r="C2" s="18" t="s">
        <v>168</v>
      </c>
      <c r="D2" s="19" t="str">
        <f>IFERROR(VLOOKUP(C2,거래처!$A:$B,2,0),"")</f>
        <v>성남시청</v>
      </c>
      <c r="E2" s="18" t="s">
        <v>88</v>
      </c>
      <c r="F2" s="20">
        <v>45730</v>
      </c>
      <c r="G2" s="20">
        <v>45748</v>
      </c>
      <c r="H2" s="20">
        <v>46006</v>
      </c>
      <c r="I2" s="21">
        <v>1850000000</v>
      </c>
      <c r="J2" s="22">
        <f>IF(I2="","",ROUND(I2*기준정보!$B$9,0))</f>
        <v>185000000</v>
      </c>
      <c r="K2" s="23">
        <f t="shared" ref="K2:K8" si="0">IF(I2="","",I2+J2)</f>
        <v>2035000000</v>
      </c>
      <c r="L2" s="18" t="s">
        <v>122</v>
      </c>
      <c r="M2" s="24">
        <v>1</v>
      </c>
      <c r="N2" s="18" t="s">
        <v>274</v>
      </c>
      <c r="O2" s="9" t="s">
        <v>275</v>
      </c>
    </row>
    <row r="3" spans="1:15" x14ac:dyDescent="0.4">
      <c r="A3" s="18" t="s">
        <v>276</v>
      </c>
      <c r="B3" s="9" t="s">
        <v>277</v>
      </c>
      <c r="C3" s="18" t="s">
        <v>184</v>
      </c>
      <c r="D3" s="19" t="str">
        <f>IFERROR(VLOOKUP(C3,거래처!$A:$B,2,0),"")</f>
        <v>(주)한빛종합건설</v>
      </c>
      <c r="E3" s="18" t="s">
        <v>110</v>
      </c>
      <c r="F3" s="20">
        <v>45902</v>
      </c>
      <c r="G3" s="20">
        <v>45915</v>
      </c>
      <c r="H3" s="20">
        <v>46265</v>
      </c>
      <c r="I3" s="21">
        <v>920000000</v>
      </c>
      <c r="J3" s="22">
        <f>IF(I3="","",ROUND(I3*기준정보!$B$9,0))</f>
        <v>92000000</v>
      </c>
      <c r="K3" s="23">
        <f t="shared" si="0"/>
        <v>1012000000</v>
      </c>
      <c r="L3" s="18" t="s">
        <v>111</v>
      </c>
      <c r="M3" s="24">
        <v>0.85</v>
      </c>
      <c r="N3" s="18" t="s">
        <v>278</v>
      </c>
      <c r="O3" s="9"/>
    </row>
    <row r="4" spans="1:15" x14ac:dyDescent="0.4">
      <c r="A4" s="18" t="s">
        <v>279</v>
      </c>
      <c r="B4" s="9" t="s">
        <v>280</v>
      </c>
      <c r="C4" s="18" t="s">
        <v>174</v>
      </c>
      <c r="D4" s="19" t="str">
        <f>IFERROR(VLOOKUP(C4,거래처!$A:$B,2,0),"")</f>
        <v>(주)대명디앤씨</v>
      </c>
      <c r="E4" s="18" t="s">
        <v>99</v>
      </c>
      <c r="F4" s="20">
        <v>46042</v>
      </c>
      <c r="G4" s="20">
        <v>46063</v>
      </c>
      <c r="H4" s="20">
        <v>46446</v>
      </c>
      <c r="I4" s="21">
        <v>2400000000</v>
      </c>
      <c r="J4" s="22">
        <f>IF(I4="","",ROUND(I4*기준정보!$B$9,0))</f>
        <v>240000000</v>
      </c>
      <c r="K4" s="23">
        <f t="shared" si="0"/>
        <v>2640000000</v>
      </c>
      <c r="L4" s="18" t="s">
        <v>111</v>
      </c>
      <c r="M4" s="24">
        <v>0.45</v>
      </c>
      <c r="N4" s="18" t="s">
        <v>274</v>
      </c>
      <c r="O4" s="9"/>
    </row>
    <row r="5" spans="1:15" x14ac:dyDescent="0.4">
      <c r="A5" s="18" t="s">
        <v>281</v>
      </c>
      <c r="B5" s="9" t="s">
        <v>282</v>
      </c>
      <c r="C5" s="18" t="s">
        <v>159</v>
      </c>
      <c r="D5" s="19" t="str">
        <f>IFERROR(VLOOKUP(C5,거래처!$A:$B,2,0),"")</f>
        <v>한국토지주택공사(LH)</v>
      </c>
      <c r="E5" s="18" t="s">
        <v>88</v>
      </c>
      <c r="F5" s="20">
        <v>46086</v>
      </c>
      <c r="G5" s="20">
        <v>46101</v>
      </c>
      <c r="H5" s="20">
        <v>46376</v>
      </c>
      <c r="I5" s="21">
        <v>1300000000</v>
      </c>
      <c r="J5" s="22">
        <f>IF(I5="","",ROUND(I5*기준정보!$B$9,0))</f>
        <v>130000000</v>
      </c>
      <c r="K5" s="23">
        <f t="shared" si="0"/>
        <v>1430000000</v>
      </c>
      <c r="L5" s="18" t="s">
        <v>111</v>
      </c>
      <c r="M5" s="24">
        <v>0.3</v>
      </c>
      <c r="N5" s="18" t="s">
        <v>278</v>
      </c>
      <c r="O5" s="9"/>
    </row>
    <row r="6" spans="1:15" x14ac:dyDescent="0.4">
      <c r="A6" s="18" t="s">
        <v>283</v>
      </c>
      <c r="B6" s="9" t="s">
        <v>284</v>
      </c>
      <c r="C6" s="18" t="s">
        <v>174</v>
      </c>
      <c r="D6" s="19" t="str">
        <f>IFERROR(VLOOKUP(C6,거래처!$A:$B,2,0),"")</f>
        <v>(주)대명디앤씨</v>
      </c>
      <c r="E6" s="18" t="s">
        <v>99</v>
      </c>
      <c r="F6" s="20">
        <v>46153</v>
      </c>
      <c r="G6" s="20">
        <v>46174</v>
      </c>
      <c r="H6" s="20">
        <v>46326</v>
      </c>
      <c r="I6" s="21">
        <v>680000000</v>
      </c>
      <c r="J6" s="22">
        <f>IF(I6="","",ROUND(I6*기준정보!$B$9,0))</f>
        <v>68000000</v>
      </c>
      <c r="K6" s="23">
        <f t="shared" si="0"/>
        <v>748000000</v>
      </c>
      <c r="L6" s="18" t="s">
        <v>111</v>
      </c>
      <c r="M6" s="24">
        <v>0.15</v>
      </c>
      <c r="N6" s="18" t="s">
        <v>274</v>
      </c>
      <c r="O6" s="9"/>
    </row>
    <row r="7" spans="1:15" x14ac:dyDescent="0.4">
      <c r="A7" s="18" t="s">
        <v>285</v>
      </c>
      <c r="B7" s="9" t="s">
        <v>286</v>
      </c>
      <c r="C7" s="18" t="s">
        <v>168</v>
      </c>
      <c r="D7" s="19" t="str">
        <f>IFERROR(VLOOKUP(C7,거래처!$A:$B,2,0),"")</f>
        <v>성남시청</v>
      </c>
      <c r="E7" s="18" t="s">
        <v>88</v>
      </c>
      <c r="F7" s="20">
        <v>46198</v>
      </c>
      <c r="G7" s="20">
        <v>46235</v>
      </c>
      <c r="H7" s="20">
        <v>46568</v>
      </c>
      <c r="I7" s="21">
        <v>3100000000</v>
      </c>
      <c r="J7" s="22">
        <f>IF(I7="","",ROUND(I7*기준정보!$B$9,0))</f>
        <v>310000000</v>
      </c>
      <c r="K7" s="23">
        <f t="shared" si="0"/>
        <v>3410000000</v>
      </c>
      <c r="L7" s="18" t="s">
        <v>100</v>
      </c>
      <c r="M7" s="24">
        <v>0</v>
      </c>
      <c r="N7" s="18" t="s">
        <v>287</v>
      </c>
      <c r="O7" s="9" t="s">
        <v>288</v>
      </c>
    </row>
    <row r="8" spans="1:15" x14ac:dyDescent="0.4">
      <c r="A8" s="18" t="s">
        <v>289</v>
      </c>
      <c r="B8" s="9" t="s">
        <v>290</v>
      </c>
      <c r="C8" s="18" t="s">
        <v>174</v>
      </c>
      <c r="D8" s="19" t="str">
        <f>IFERROR(VLOOKUP(C8,거래처!$A:$B,2,0),"")</f>
        <v>(주)대명디앤씨</v>
      </c>
      <c r="E8" s="18" t="s">
        <v>121</v>
      </c>
      <c r="F8" s="25"/>
      <c r="G8" s="25"/>
      <c r="H8" s="25"/>
      <c r="I8" s="21">
        <v>120000000</v>
      </c>
      <c r="J8" s="22">
        <f>IF(I8="","",ROUND(I8*기준정보!$B$9,0))</f>
        <v>12000000</v>
      </c>
      <c r="K8" s="23">
        <f t="shared" si="0"/>
        <v>132000000</v>
      </c>
      <c r="L8" s="18" t="s">
        <v>89</v>
      </c>
      <c r="M8" s="24">
        <v>0</v>
      </c>
      <c r="N8" s="18" t="s">
        <v>291</v>
      </c>
      <c r="O8" s="9" t="s">
        <v>292</v>
      </c>
    </row>
  </sheetData>
  <autoFilter ref="A1:O8"/>
  <phoneticPr fontId="9" type="noConversion"/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기준정보!$B$19:$B$23</xm:f>
          </x14:formula1>
          <xm:sqref>E2:E300</xm:sqref>
        </x14:dataValidation>
        <x14:dataValidation type="list" allowBlank="1">
          <x14:formula1>
            <xm:f>기준정보!$C$19:$C$24</xm:f>
          </x14:formula1>
          <xm:sqref>L2:L300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R12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2" width="11" customWidth="1"/>
    <col min="3" max="3" width="12" customWidth="1"/>
    <col min="4" max="4" width="30" customWidth="1"/>
    <col min="5" max="5" width="10" customWidth="1"/>
    <col min="6" max="6" width="18" customWidth="1"/>
    <col min="7" max="7" width="9" customWidth="1"/>
    <col min="8" max="8" width="26" customWidth="1"/>
    <col min="9" max="9" width="14" customWidth="1"/>
    <col min="10" max="10" width="12" customWidth="1"/>
    <col min="11" max="11" width="14" customWidth="1"/>
    <col min="12" max="12" width="9" customWidth="1"/>
    <col min="13" max="14" width="11" customWidth="1"/>
    <col min="15" max="15" width="14" customWidth="1"/>
    <col min="16" max="16" width="13" customWidth="1"/>
    <col min="17" max="17" width="9" customWidth="1"/>
    <col min="18" max="18" width="24" customWidth="1"/>
  </cols>
  <sheetData>
    <row r="1" spans="1:18" x14ac:dyDescent="0.4">
      <c r="A1" s="17" t="s">
        <v>34</v>
      </c>
      <c r="B1" s="17" t="s">
        <v>293</v>
      </c>
      <c r="C1" s="17" t="s">
        <v>32</v>
      </c>
      <c r="D1" s="17" t="s">
        <v>262</v>
      </c>
      <c r="E1" s="17" t="s">
        <v>30</v>
      </c>
      <c r="F1" s="17" t="s">
        <v>150</v>
      </c>
      <c r="G1" s="17" t="s">
        <v>79</v>
      </c>
      <c r="H1" s="17" t="s">
        <v>294</v>
      </c>
      <c r="I1" s="17" t="s">
        <v>295</v>
      </c>
      <c r="J1" s="17" t="s">
        <v>269</v>
      </c>
      <c r="K1" s="17" t="s">
        <v>296</v>
      </c>
      <c r="L1" s="17" t="s">
        <v>297</v>
      </c>
      <c r="M1" s="17" t="s">
        <v>298</v>
      </c>
      <c r="N1" s="17" t="s">
        <v>299</v>
      </c>
      <c r="O1" s="17" t="s">
        <v>300</v>
      </c>
      <c r="P1" s="17" t="s">
        <v>301</v>
      </c>
      <c r="Q1" s="17" t="s">
        <v>302</v>
      </c>
      <c r="R1" s="17" t="s">
        <v>158</v>
      </c>
    </row>
    <row r="2" spans="1:18" x14ac:dyDescent="0.4">
      <c r="A2" s="18" t="s">
        <v>303</v>
      </c>
      <c r="B2" s="20">
        <v>46037</v>
      </c>
      <c r="C2" s="18" t="s">
        <v>272</v>
      </c>
      <c r="D2" s="19" t="str">
        <f>IFERROR(VLOOKUP(C2,프로젝트!$A:$B,2,0),"")</f>
        <v>성남 수정구 도로 확포장공사</v>
      </c>
      <c r="E2" s="18" t="s">
        <v>168</v>
      </c>
      <c r="F2" s="19" t="str">
        <f>IFERROR(VLOOKUP(E2,거래처!$A:$B,2,0),"")</f>
        <v>성남시청</v>
      </c>
      <c r="G2" s="18" t="s">
        <v>112</v>
      </c>
      <c r="H2" s="9" t="s">
        <v>304</v>
      </c>
      <c r="I2" s="21">
        <v>185000000</v>
      </c>
      <c r="J2" s="22">
        <f>IF(I2="","",ROUND(I2*기준정보!$B$9,0))</f>
        <v>18500000</v>
      </c>
      <c r="K2" s="23">
        <f t="shared" ref="K2:K12" si="0">IF(I2="","",I2+J2)</f>
        <v>203500000</v>
      </c>
      <c r="L2" s="18" t="s">
        <v>305</v>
      </c>
      <c r="M2" s="20">
        <v>46068</v>
      </c>
      <c r="N2" s="20">
        <v>46066</v>
      </c>
      <c r="O2" s="21">
        <v>203500000</v>
      </c>
      <c r="P2" s="23">
        <f t="shared" ref="P2:P12" si="1">IF(K2="","",K2-O2)</f>
        <v>0</v>
      </c>
      <c r="Q2" s="18" t="str">
        <f t="shared" ref="Q2:Q12" si="2">IF(K2="","",IF(O2&gt;=K2,"수금완료",IF(O2&gt;0,"부분수금","미수")))</f>
        <v>수금완료</v>
      </c>
      <c r="R2" s="9"/>
    </row>
    <row r="3" spans="1:18" x14ac:dyDescent="0.4">
      <c r="A3" s="18" t="s">
        <v>306</v>
      </c>
      <c r="B3" s="20">
        <v>46053</v>
      </c>
      <c r="C3" s="18" t="s">
        <v>276</v>
      </c>
      <c r="D3" s="19" t="str">
        <f>IFERROR(VLOOKUP(C3,프로젝트!$A:$B,2,0),"")</f>
        <v>하남 물류센터 신축 토공사(하도급)</v>
      </c>
      <c r="E3" s="18" t="s">
        <v>184</v>
      </c>
      <c r="F3" s="19" t="str">
        <f>IFERROR(VLOOKUP(E3,거래처!$A:$B,2,0),"")</f>
        <v>(주)한빛종합건설</v>
      </c>
      <c r="G3" s="18" t="s">
        <v>101</v>
      </c>
      <c r="H3" s="9" t="s">
        <v>307</v>
      </c>
      <c r="I3" s="21">
        <v>95000000</v>
      </c>
      <c r="J3" s="22">
        <f>IF(I3="","",ROUND(I3*기준정보!$B$9,0))</f>
        <v>9500000</v>
      </c>
      <c r="K3" s="23">
        <f t="shared" si="0"/>
        <v>104500000</v>
      </c>
      <c r="L3" s="18" t="s">
        <v>305</v>
      </c>
      <c r="M3" s="20">
        <v>46083</v>
      </c>
      <c r="N3" s="20">
        <v>46083</v>
      </c>
      <c r="O3" s="21">
        <v>104500000</v>
      </c>
      <c r="P3" s="23">
        <f t="shared" si="1"/>
        <v>0</v>
      </c>
      <c r="Q3" s="18" t="str">
        <f t="shared" si="2"/>
        <v>수금완료</v>
      </c>
      <c r="R3" s="9"/>
    </row>
    <row r="4" spans="1:18" x14ac:dyDescent="0.4">
      <c r="A4" s="18" t="s">
        <v>308</v>
      </c>
      <c r="B4" s="20">
        <v>46080</v>
      </c>
      <c r="C4" s="18" t="s">
        <v>279</v>
      </c>
      <c r="D4" s="19" t="str">
        <f>IFERROR(VLOOKUP(C4,프로젝트!$A:$B,2,0),"")</f>
        <v>위례 근린생활시설 신축공사</v>
      </c>
      <c r="E4" s="18" t="s">
        <v>174</v>
      </c>
      <c r="F4" s="19" t="str">
        <f>IFERROR(VLOOKUP(E4,거래처!$A:$B,2,0),"")</f>
        <v>(주)대명디앤씨</v>
      </c>
      <c r="G4" s="18" t="s">
        <v>90</v>
      </c>
      <c r="H4" s="9" t="s">
        <v>309</v>
      </c>
      <c r="I4" s="21">
        <v>240000000</v>
      </c>
      <c r="J4" s="22">
        <f>IF(I4="","",ROUND(I4*기준정보!$B$9,0))</f>
        <v>24000000</v>
      </c>
      <c r="K4" s="23">
        <f t="shared" si="0"/>
        <v>264000000</v>
      </c>
      <c r="L4" s="18" t="s">
        <v>305</v>
      </c>
      <c r="M4" s="20">
        <v>46091</v>
      </c>
      <c r="N4" s="20">
        <v>46090</v>
      </c>
      <c r="O4" s="21">
        <v>264000000</v>
      </c>
      <c r="P4" s="23">
        <f t="shared" si="1"/>
        <v>0</v>
      </c>
      <c r="Q4" s="18" t="str">
        <f t="shared" si="2"/>
        <v>수금완료</v>
      </c>
      <c r="R4" s="9"/>
    </row>
    <row r="5" spans="1:18" x14ac:dyDescent="0.4">
      <c r="A5" s="18" t="s">
        <v>310</v>
      </c>
      <c r="B5" s="20">
        <v>46112</v>
      </c>
      <c r="C5" s="18" t="s">
        <v>276</v>
      </c>
      <c r="D5" s="19" t="str">
        <f>IFERROR(VLOOKUP(C5,프로젝트!$A:$B,2,0),"")</f>
        <v>하남 물류센터 신축 토공사(하도급)</v>
      </c>
      <c r="E5" s="18" t="s">
        <v>184</v>
      </c>
      <c r="F5" s="19" t="str">
        <f>IFERROR(VLOOKUP(E5,거래처!$A:$B,2,0),"")</f>
        <v>(주)한빛종합건설</v>
      </c>
      <c r="G5" s="18" t="s">
        <v>101</v>
      </c>
      <c r="H5" s="9" t="s">
        <v>311</v>
      </c>
      <c r="I5" s="21">
        <v>88000000</v>
      </c>
      <c r="J5" s="22">
        <f>IF(I5="","",ROUND(I5*기준정보!$B$9,0))</f>
        <v>8800000</v>
      </c>
      <c r="K5" s="23">
        <f t="shared" si="0"/>
        <v>96800000</v>
      </c>
      <c r="L5" s="18" t="s">
        <v>305</v>
      </c>
      <c r="M5" s="20">
        <v>46142</v>
      </c>
      <c r="N5" s="20">
        <v>46142</v>
      </c>
      <c r="O5" s="21">
        <v>96800000</v>
      </c>
      <c r="P5" s="23">
        <f t="shared" si="1"/>
        <v>0</v>
      </c>
      <c r="Q5" s="18" t="str">
        <f t="shared" si="2"/>
        <v>수금완료</v>
      </c>
      <c r="R5" s="9"/>
    </row>
    <row r="6" spans="1:18" x14ac:dyDescent="0.4">
      <c r="A6" s="18" t="s">
        <v>312</v>
      </c>
      <c r="B6" s="20">
        <v>46122</v>
      </c>
      <c r="C6" s="18" t="s">
        <v>281</v>
      </c>
      <c r="D6" s="19" t="str">
        <f>IFERROR(VLOOKUP(C6,프로젝트!$A:$B,2,0),"")</f>
        <v>LH 행복주택 부대토목·조경공사</v>
      </c>
      <c r="E6" s="18" t="s">
        <v>159</v>
      </c>
      <c r="F6" s="19" t="str">
        <f>IFERROR(VLOOKUP(E6,거래처!$A:$B,2,0),"")</f>
        <v>한국토지주택공사(LH)</v>
      </c>
      <c r="G6" s="18" t="s">
        <v>90</v>
      </c>
      <c r="H6" s="9" t="s">
        <v>309</v>
      </c>
      <c r="I6" s="21">
        <v>130000000</v>
      </c>
      <c r="J6" s="22">
        <f>IF(I6="","",ROUND(I6*기준정보!$B$9,0))</f>
        <v>13000000</v>
      </c>
      <c r="K6" s="23">
        <f t="shared" si="0"/>
        <v>143000000</v>
      </c>
      <c r="L6" s="18" t="s">
        <v>305</v>
      </c>
      <c r="M6" s="20">
        <v>46142</v>
      </c>
      <c r="N6" s="20">
        <v>46140</v>
      </c>
      <c r="O6" s="21">
        <v>143000000</v>
      </c>
      <c r="P6" s="23">
        <f t="shared" si="1"/>
        <v>0</v>
      </c>
      <c r="Q6" s="18" t="str">
        <f t="shared" si="2"/>
        <v>수금완료</v>
      </c>
      <c r="R6" s="9"/>
    </row>
    <row r="7" spans="1:18" x14ac:dyDescent="0.4">
      <c r="A7" s="18" t="s">
        <v>313</v>
      </c>
      <c r="B7" s="20">
        <v>46142</v>
      </c>
      <c r="C7" s="18" t="s">
        <v>279</v>
      </c>
      <c r="D7" s="19" t="str">
        <f>IFERROR(VLOOKUP(C7,프로젝트!$A:$B,2,0),"")</f>
        <v>위례 근린생활시설 신축공사</v>
      </c>
      <c r="E7" s="18" t="s">
        <v>174</v>
      </c>
      <c r="F7" s="19" t="str">
        <f>IFERROR(VLOOKUP(E7,거래처!$A:$B,2,0),"")</f>
        <v>(주)대명디앤씨</v>
      </c>
      <c r="G7" s="18" t="s">
        <v>101</v>
      </c>
      <c r="H7" s="9" t="s">
        <v>314</v>
      </c>
      <c r="I7" s="21">
        <v>320000000</v>
      </c>
      <c r="J7" s="22">
        <f>IF(I7="","",ROUND(I7*기준정보!$B$9,0))</f>
        <v>32000000</v>
      </c>
      <c r="K7" s="23">
        <f t="shared" si="0"/>
        <v>352000000</v>
      </c>
      <c r="L7" s="18" t="s">
        <v>305</v>
      </c>
      <c r="M7" s="20">
        <v>46173</v>
      </c>
      <c r="N7" s="20">
        <v>46171</v>
      </c>
      <c r="O7" s="21">
        <v>352000000</v>
      </c>
      <c r="P7" s="23">
        <f t="shared" si="1"/>
        <v>0</v>
      </c>
      <c r="Q7" s="18" t="str">
        <f t="shared" si="2"/>
        <v>수금완료</v>
      </c>
      <c r="R7" s="9"/>
    </row>
    <row r="8" spans="1:18" x14ac:dyDescent="0.4">
      <c r="A8" s="18" t="s">
        <v>315</v>
      </c>
      <c r="B8" s="20">
        <v>46171</v>
      </c>
      <c r="C8" s="18" t="s">
        <v>276</v>
      </c>
      <c r="D8" s="19" t="str">
        <f>IFERROR(VLOOKUP(C8,프로젝트!$A:$B,2,0),"")</f>
        <v>하남 물류센터 신축 토공사(하도급)</v>
      </c>
      <c r="E8" s="18" t="s">
        <v>184</v>
      </c>
      <c r="F8" s="19" t="str">
        <f>IFERROR(VLOOKUP(E8,거래처!$A:$B,2,0),"")</f>
        <v>(주)한빛종합건설</v>
      </c>
      <c r="G8" s="18" t="s">
        <v>101</v>
      </c>
      <c r="H8" s="9" t="s">
        <v>316</v>
      </c>
      <c r="I8" s="21">
        <v>92000000</v>
      </c>
      <c r="J8" s="22">
        <f>IF(I8="","",ROUND(I8*기준정보!$B$9,0))</f>
        <v>9200000</v>
      </c>
      <c r="K8" s="23">
        <f t="shared" si="0"/>
        <v>101200000</v>
      </c>
      <c r="L8" s="18" t="s">
        <v>305</v>
      </c>
      <c r="M8" s="20">
        <v>46203</v>
      </c>
      <c r="N8" s="20">
        <v>46203</v>
      </c>
      <c r="O8" s="21">
        <v>55000000</v>
      </c>
      <c r="P8" s="23">
        <f t="shared" si="1"/>
        <v>46200000</v>
      </c>
      <c r="Q8" s="18" t="str">
        <f t="shared" si="2"/>
        <v>부분수금</v>
      </c>
      <c r="R8" s="9" t="s">
        <v>317</v>
      </c>
    </row>
    <row r="9" spans="1:18" x14ac:dyDescent="0.4">
      <c r="A9" s="18" t="s">
        <v>318</v>
      </c>
      <c r="B9" s="20">
        <v>46171</v>
      </c>
      <c r="C9" s="18" t="s">
        <v>281</v>
      </c>
      <c r="D9" s="19" t="str">
        <f>IFERROR(VLOOKUP(C9,프로젝트!$A:$B,2,0),"")</f>
        <v>LH 행복주택 부대토목·조경공사</v>
      </c>
      <c r="E9" s="18" t="s">
        <v>159</v>
      </c>
      <c r="F9" s="19" t="str">
        <f>IFERROR(VLOOKUP(E9,거래처!$A:$B,2,0),"")</f>
        <v>한국토지주택공사(LH)</v>
      </c>
      <c r="G9" s="18" t="s">
        <v>101</v>
      </c>
      <c r="H9" s="9" t="s">
        <v>314</v>
      </c>
      <c r="I9" s="21">
        <v>210000000</v>
      </c>
      <c r="J9" s="22">
        <f>IF(I9="","",ROUND(I9*기준정보!$B$9,0))</f>
        <v>21000000</v>
      </c>
      <c r="K9" s="23">
        <f t="shared" si="0"/>
        <v>231000000</v>
      </c>
      <c r="L9" s="18" t="s">
        <v>305</v>
      </c>
      <c r="M9" s="20">
        <v>46198</v>
      </c>
      <c r="N9" s="20">
        <v>46198</v>
      </c>
      <c r="O9" s="21">
        <v>231000000</v>
      </c>
      <c r="P9" s="23">
        <f t="shared" si="1"/>
        <v>0</v>
      </c>
      <c r="Q9" s="18" t="str">
        <f t="shared" si="2"/>
        <v>수금완료</v>
      </c>
      <c r="R9" s="9"/>
    </row>
    <row r="10" spans="1:18" x14ac:dyDescent="0.4">
      <c r="A10" s="18" t="s">
        <v>319</v>
      </c>
      <c r="B10" s="20">
        <v>46203</v>
      </c>
      <c r="C10" s="18" t="s">
        <v>279</v>
      </c>
      <c r="D10" s="19" t="str">
        <f>IFERROR(VLOOKUP(C10,프로젝트!$A:$B,2,0),"")</f>
        <v>위례 근린생활시설 신축공사</v>
      </c>
      <c r="E10" s="18" t="s">
        <v>174</v>
      </c>
      <c r="F10" s="19" t="str">
        <f>IFERROR(VLOOKUP(E10,거래처!$A:$B,2,0),"")</f>
        <v>(주)대명디앤씨</v>
      </c>
      <c r="G10" s="18" t="s">
        <v>101</v>
      </c>
      <c r="H10" s="9" t="s">
        <v>320</v>
      </c>
      <c r="I10" s="21">
        <v>380000000</v>
      </c>
      <c r="J10" s="22">
        <f>IF(I10="","",ROUND(I10*기준정보!$B$9,0))</f>
        <v>38000000</v>
      </c>
      <c r="K10" s="23">
        <f t="shared" si="0"/>
        <v>418000000</v>
      </c>
      <c r="L10" s="18" t="s">
        <v>305</v>
      </c>
      <c r="M10" s="20">
        <v>46234</v>
      </c>
      <c r="N10" s="25"/>
      <c r="O10" s="26"/>
      <c r="P10" s="23">
        <f t="shared" si="1"/>
        <v>418000000</v>
      </c>
      <c r="Q10" s="18" t="str">
        <f t="shared" si="2"/>
        <v>미수</v>
      </c>
      <c r="R10" s="9"/>
    </row>
    <row r="11" spans="1:18" x14ac:dyDescent="0.4">
      <c r="A11" s="18" t="s">
        <v>321</v>
      </c>
      <c r="B11" s="20">
        <v>46203</v>
      </c>
      <c r="C11" s="18" t="s">
        <v>283</v>
      </c>
      <c r="D11" s="19" t="str">
        <f>IFERROR(VLOOKUP(C11,프로젝트!$A:$B,2,0),"")</f>
        <v>분당 사옥 리모델링공사</v>
      </c>
      <c r="E11" s="18" t="s">
        <v>174</v>
      </c>
      <c r="F11" s="19" t="str">
        <f>IFERROR(VLOOKUP(E11,거래처!$A:$B,2,0),"")</f>
        <v>(주)대명디앤씨</v>
      </c>
      <c r="G11" s="18" t="s">
        <v>90</v>
      </c>
      <c r="H11" s="9" t="s">
        <v>309</v>
      </c>
      <c r="I11" s="21">
        <v>68000000</v>
      </c>
      <c r="J11" s="22">
        <f>IF(I11="","",ROUND(I11*기준정보!$B$9,0))</f>
        <v>6800000</v>
      </c>
      <c r="K11" s="23">
        <f t="shared" si="0"/>
        <v>74800000</v>
      </c>
      <c r="L11" s="18" t="s">
        <v>305</v>
      </c>
      <c r="M11" s="20">
        <v>46218</v>
      </c>
      <c r="N11" s="25"/>
      <c r="O11" s="26"/>
      <c r="P11" s="23">
        <f t="shared" si="1"/>
        <v>74800000</v>
      </c>
      <c r="Q11" s="18" t="str">
        <f t="shared" si="2"/>
        <v>미수</v>
      </c>
      <c r="R11" s="9"/>
    </row>
    <row r="12" spans="1:18" x14ac:dyDescent="0.4">
      <c r="A12" s="18" t="s">
        <v>322</v>
      </c>
      <c r="B12" s="20">
        <v>46203</v>
      </c>
      <c r="C12" s="18" t="s">
        <v>276</v>
      </c>
      <c r="D12" s="19" t="str">
        <f>IFERROR(VLOOKUP(C12,프로젝트!$A:$B,2,0),"")</f>
        <v>하남 물류센터 신축 토공사(하도급)</v>
      </c>
      <c r="E12" s="18" t="s">
        <v>184</v>
      </c>
      <c r="F12" s="19" t="str">
        <f>IFERROR(VLOOKUP(E12,거래처!$A:$B,2,0),"")</f>
        <v>(주)한빛종합건설</v>
      </c>
      <c r="G12" s="18" t="s">
        <v>101</v>
      </c>
      <c r="H12" s="9" t="s">
        <v>323</v>
      </c>
      <c r="I12" s="21">
        <v>85000000</v>
      </c>
      <c r="J12" s="22">
        <f>IF(I12="","",ROUND(I12*기준정보!$B$9,0))</f>
        <v>8500000</v>
      </c>
      <c r="K12" s="23">
        <f t="shared" si="0"/>
        <v>93500000</v>
      </c>
      <c r="L12" s="18" t="s">
        <v>324</v>
      </c>
      <c r="M12" s="20">
        <v>46234</v>
      </c>
      <c r="N12" s="25"/>
      <c r="O12" s="26"/>
      <c r="P12" s="23">
        <f t="shared" si="1"/>
        <v>93500000</v>
      </c>
      <c r="Q12" s="18" t="str">
        <f t="shared" si="2"/>
        <v>미수</v>
      </c>
      <c r="R12" s="9" t="s">
        <v>325</v>
      </c>
    </row>
  </sheetData>
  <autoFilter ref="A1:R12"/>
  <phoneticPr fontId="9" type="noConversion"/>
  <dataValidations count="1">
    <dataValidation type="list" allowBlank="1" sqref="L2:L500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기준정보!$D$19:$D$23</xm:f>
          </x14:formula1>
          <xm:sqref>G2:G500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55A11"/>
  </sheetPr>
  <dimension ref="A1:Q19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2" width="11" customWidth="1"/>
    <col min="3" max="3" width="12" customWidth="1"/>
    <col min="4" max="4" width="30" customWidth="1"/>
    <col min="5" max="5" width="10" customWidth="1"/>
    <col min="6" max="6" width="18" customWidth="1"/>
    <col min="7" max="7" width="11" customWidth="1"/>
    <col min="8" max="8" width="26" customWidth="1"/>
    <col min="9" max="9" width="14" customWidth="1"/>
    <col min="10" max="10" width="12" customWidth="1"/>
    <col min="11" max="11" width="14" customWidth="1"/>
    <col min="12" max="13" width="11" customWidth="1"/>
    <col min="14" max="14" width="14" customWidth="1"/>
    <col min="15" max="15" width="13" customWidth="1"/>
    <col min="16" max="16" width="9" customWidth="1"/>
    <col min="17" max="17" width="20" customWidth="1"/>
  </cols>
  <sheetData>
    <row r="1" spans="1:17" x14ac:dyDescent="0.4">
      <c r="A1" s="17" t="s">
        <v>36</v>
      </c>
      <c r="B1" s="17" t="s">
        <v>326</v>
      </c>
      <c r="C1" s="17" t="s">
        <v>32</v>
      </c>
      <c r="D1" s="17" t="s">
        <v>262</v>
      </c>
      <c r="E1" s="17" t="s">
        <v>30</v>
      </c>
      <c r="F1" s="17" t="s">
        <v>150</v>
      </c>
      <c r="G1" s="17" t="s">
        <v>80</v>
      </c>
      <c r="H1" s="17" t="s">
        <v>294</v>
      </c>
      <c r="I1" s="17" t="s">
        <v>295</v>
      </c>
      <c r="J1" s="17" t="s">
        <v>269</v>
      </c>
      <c r="K1" s="17" t="s">
        <v>296</v>
      </c>
      <c r="L1" s="17" t="s">
        <v>327</v>
      </c>
      <c r="M1" s="17" t="s">
        <v>328</v>
      </c>
      <c r="N1" s="17" t="s">
        <v>329</v>
      </c>
      <c r="O1" s="17" t="s">
        <v>330</v>
      </c>
      <c r="P1" s="17" t="s">
        <v>331</v>
      </c>
      <c r="Q1" s="17" t="s">
        <v>158</v>
      </c>
    </row>
    <row r="2" spans="1:17" x14ac:dyDescent="0.4">
      <c r="A2" s="18" t="s">
        <v>332</v>
      </c>
      <c r="B2" s="20">
        <v>46053</v>
      </c>
      <c r="C2" s="18" t="s">
        <v>276</v>
      </c>
      <c r="D2" s="19" t="str">
        <f>IFERROR(VLOOKUP(C2,프로젝트!$A:$B,2,0),"")</f>
        <v>하남 물류센터 신축 토공사(하도급)</v>
      </c>
      <c r="E2" s="18" t="s">
        <v>236</v>
      </c>
      <c r="F2" s="19" t="str">
        <f>IFERROR(VLOOKUP(E2,거래처!$A:$B,2,0),"")</f>
        <v>대성중기</v>
      </c>
      <c r="G2" s="18" t="s">
        <v>124</v>
      </c>
      <c r="H2" s="9" t="s">
        <v>333</v>
      </c>
      <c r="I2" s="21">
        <v>18000000</v>
      </c>
      <c r="J2" s="22">
        <f>IF(I2="","",ROUND(I2*기준정보!$B$9,0))</f>
        <v>1800000</v>
      </c>
      <c r="K2" s="23">
        <f t="shared" ref="K2:K19" si="0">IF(I2="","",I2+J2)</f>
        <v>19800000</v>
      </c>
      <c r="L2" s="20">
        <v>46081</v>
      </c>
      <c r="M2" s="20">
        <v>46080</v>
      </c>
      <c r="N2" s="21">
        <v>19800000</v>
      </c>
      <c r="O2" s="23">
        <f t="shared" ref="O2:O19" si="1">IF(K2="","",K2-N2)</f>
        <v>0</v>
      </c>
      <c r="P2" s="18" t="str">
        <f t="shared" ref="P2:P19" si="2">IF(K2="","",IF(N2&gt;=K2,"지급완료",IF(N2&gt;0,"부분지급","미지급")))</f>
        <v>지급완료</v>
      </c>
      <c r="Q2" s="9"/>
    </row>
    <row r="3" spans="1:17" x14ac:dyDescent="0.4">
      <c r="A3" s="18" t="s">
        <v>334</v>
      </c>
      <c r="B3" s="20">
        <v>46081</v>
      </c>
      <c r="C3" s="18" t="s">
        <v>279</v>
      </c>
      <c r="D3" s="19" t="str">
        <f>IFERROR(VLOOKUP(C3,프로젝트!$A:$B,2,0),"")</f>
        <v>위례 근린생활시설 신축공사</v>
      </c>
      <c r="E3" s="18" t="s">
        <v>194</v>
      </c>
      <c r="F3" s="19" t="str">
        <f>IFERROR(VLOOKUP(E3,거래처!$A:$B,2,0),"")</f>
        <v>(주)동성레미콘</v>
      </c>
      <c r="G3" s="18" t="s">
        <v>91</v>
      </c>
      <c r="H3" s="9" t="s">
        <v>335</v>
      </c>
      <c r="I3" s="21">
        <v>42000000</v>
      </c>
      <c r="J3" s="22">
        <f>IF(I3="","",ROUND(I3*기준정보!$B$9,0))</f>
        <v>4200000</v>
      </c>
      <c r="K3" s="23">
        <f t="shared" si="0"/>
        <v>46200000</v>
      </c>
      <c r="L3" s="20">
        <v>46112</v>
      </c>
      <c r="M3" s="20">
        <v>46112</v>
      </c>
      <c r="N3" s="21">
        <v>46200000</v>
      </c>
      <c r="O3" s="23">
        <f t="shared" si="1"/>
        <v>0</v>
      </c>
      <c r="P3" s="18" t="str">
        <f t="shared" si="2"/>
        <v>지급완료</v>
      </c>
      <c r="Q3" s="9"/>
    </row>
    <row r="4" spans="1:17" x14ac:dyDescent="0.4">
      <c r="A4" s="18" t="s">
        <v>336</v>
      </c>
      <c r="B4" s="20">
        <v>46081</v>
      </c>
      <c r="C4" s="18" t="s">
        <v>279</v>
      </c>
      <c r="D4" s="19" t="str">
        <f>IFERROR(VLOOKUP(C4,프로젝트!$A:$B,2,0),"")</f>
        <v>위례 근린생활시설 신축공사</v>
      </c>
      <c r="E4" s="18" t="s">
        <v>203</v>
      </c>
      <c r="F4" s="19" t="str">
        <f>IFERROR(VLOOKUP(E4,거래처!$A:$B,2,0),"")</f>
        <v>대한철강(주)</v>
      </c>
      <c r="G4" s="18" t="s">
        <v>91</v>
      </c>
      <c r="H4" s="9" t="s">
        <v>337</v>
      </c>
      <c r="I4" s="21">
        <v>68000000</v>
      </c>
      <c r="J4" s="22">
        <f>IF(I4="","",ROUND(I4*기준정보!$B$9,0))</f>
        <v>6800000</v>
      </c>
      <c r="K4" s="23">
        <f t="shared" si="0"/>
        <v>74800000</v>
      </c>
      <c r="L4" s="20">
        <v>46112</v>
      </c>
      <c r="M4" s="20">
        <v>46112</v>
      </c>
      <c r="N4" s="21">
        <v>74800000</v>
      </c>
      <c r="O4" s="23">
        <f t="shared" si="1"/>
        <v>0</v>
      </c>
      <c r="P4" s="18" t="str">
        <f t="shared" si="2"/>
        <v>지급완료</v>
      </c>
      <c r="Q4" s="9"/>
    </row>
    <row r="5" spans="1:17" x14ac:dyDescent="0.4">
      <c r="A5" s="18" t="s">
        <v>338</v>
      </c>
      <c r="B5" s="20">
        <v>46112</v>
      </c>
      <c r="C5" s="18" t="s">
        <v>279</v>
      </c>
      <c r="D5" s="19" t="str">
        <f>IFERROR(VLOOKUP(C5,프로젝트!$A:$B,2,0),"")</f>
        <v>위례 근린생활시설 신축공사</v>
      </c>
      <c r="E5" s="18" t="s">
        <v>211</v>
      </c>
      <c r="F5" s="19" t="str">
        <f>IFERROR(VLOOKUP(E5,거래처!$A:$B,2,0),"")</f>
        <v>(주)세움전기</v>
      </c>
      <c r="G5" s="18" t="s">
        <v>102</v>
      </c>
      <c r="H5" s="9" t="s">
        <v>339</v>
      </c>
      <c r="I5" s="21">
        <v>55000000</v>
      </c>
      <c r="J5" s="22">
        <f>IF(I5="","",ROUND(I5*기준정보!$B$9,0))</f>
        <v>5500000</v>
      </c>
      <c r="K5" s="23">
        <f t="shared" si="0"/>
        <v>60500000</v>
      </c>
      <c r="L5" s="20">
        <v>46142</v>
      </c>
      <c r="M5" s="20">
        <v>46142</v>
      </c>
      <c r="N5" s="21">
        <v>60500000</v>
      </c>
      <c r="O5" s="23">
        <f t="shared" si="1"/>
        <v>0</v>
      </c>
      <c r="P5" s="18" t="str">
        <f t="shared" si="2"/>
        <v>지급완료</v>
      </c>
      <c r="Q5" s="9"/>
    </row>
    <row r="6" spans="1:17" x14ac:dyDescent="0.4">
      <c r="A6" s="18" t="s">
        <v>340</v>
      </c>
      <c r="B6" s="20">
        <v>46112</v>
      </c>
      <c r="C6" s="18" t="s">
        <v>276</v>
      </c>
      <c r="D6" s="19" t="str">
        <f>IFERROR(VLOOKUP(C6,프로젝트!$A:$B,2,0),"")</f>
        <v>하남 물류센터 신축 토공사(하도급)</v>
      </c>
      <c r="E6" s="18" t="s">
        <v>236</v>
      </c>
      <c r="F6" s="19" t="str">
        <f>IFERROR(VLOOKUP(E6,거래처!$A:$B,2,0),"")</f>
        <v>대성중기</v>
      </c>
      <c r="G6" s="18" t="s">
        <v>124</v>
      </c>
      <c r="H6" s="9" t="s">
        <v>341</v>
      </c>
      <c r="I6" s="21">
        <v>22000000</v>
      </c>
      <c r="J6" s="22">
        <f>IF(I6="","",ROUND(I6*기준정보!$B$9,0))</f>
        <v>2200000</v>
      </c>
      <c r="K6" s="23">
        <f t="shared" si="0"/>
        <v>24200000</v>
      </c>
      <c r="L6" s="20">
        <v>46142</v>
      </c>
      <c r="M6" s="20">
        <v>46142</v>
      </c>
      <c r="N6" s="21">
        <v>24200000</v>
      </c>
      <c r="O6" s="23">
        <f t="shared" si="1"/>
        <v>0</v>
      </c>
      <c r="P6" s="18" t="str">
        <f t="shared" si="2"/>
        <v>지급완료</v>
      </c>
      <c r="Q6" s="9"/>
    </row>
    <row r="7" spans="1:17" x14ac:dyDescent="0.4">
      <c r="A7" s="18" t="s">
        <v>342</v>
      </c>
      <c r="B7" s="20">
        <v>46112</v>
      </c>
      <c r="C7" s="27"/>
      <c r="D7" s="19" t="str">
        <f>IFERROR(VLOOKUP(C7,프로젝트!$A:$B,2,0),"")</f>
        <v/>
      </c>
      <c r="E7" s="18" t="s">
        <v>253</v>
      </c>
      <c r="F7" s="19" t="str">
        <f>IFERROR(VLOOKUP(E7,거래처!$A:$B,2,0),"")</f>
        <v>김앤리세무회계</v>
      </c>
      <c r="G7" s="18" t="s">
        <v>136</v>
      </c>
      <c r="H7" s="9" t="s">
        <v>343</v>
      </c>
      <c r="I7" s="21">
        <v>900000</v>
      </c>
      <c r="J7" s="22">
        <f>IF(I7="","",ROUND(I7*기준정보!$B$9,0))</f>
        <v>90000</v>
      </c>
      <c r="K7" s="23">
        <f t="shared" si="0"/>
        <v>990000</v>
      </c>
      <c r="L7" s="20">
        <v>46122</v>
      </c>
      <c r="M7" s="20">
        <v>46122</v>
      </c>
      <c r="N7" s="21">
        <v>990000</v>
      </c>
      <c r="O7" s="23">
        <f t="shared" si="1"/>
        <v>0</v>
      </c>
      <c r="P7" s="18" t="str">
        <f t="shared" si="2"/>
        <v>지급완료</v>
      </c>
      <c r="Q7" s="9" t="s">
        <v>344</v>
      </c>
    </row>
    <row r="8" spans="1:17" x14ac:dyDescent="0.4">
      <c r="A8" s="18" t="s">
        <v>345</v>
      </c>
      <c r="B8" s="20">
        <v>46142</v>
      </c>
      <c r="C8" s="18" t="s">
        <v>281</v>
      </c>
      <c r="D8" s="19" t="str">
        <f>IFERROR(VLOOKUP(C8,프로젝트!$A:$B,2,0),"")</f>
        <v>LH 행복주택 부대토목·조경공사</v>
      </c>
      <c r="E8" s="18" t="s">
        <v>228</v>
      </c>
      <c r="F8" s="19" t="str">
        <f>IFERROR(VLOOKUP(E8,거래처!$A:$B,2,0),"")</f>
        <v>(주)그린조경</v>
      </c>
      <c r="G8" s="18" t="s">
        <v>102</v>
      </c>
      <c r="H8" s="9" t="s">
        <v>346</v>
      </c>
      <c r="I8" s="21">
        <v>46000000</v>
      </c>
      <c r="J8" s="22">
        <f>IF(I8="","",ROUND(I8*기준정보!$B$9,0))</f>
        <v>4600000</v>
      </c>
      <c r="K8" s="23">
        <f t="shared" si="0"/>
        <v>50600000</v>
      </c>
      <c r="L8" s="20">
        <v>46171</v>
      </c>
      <c r="M8" s="20">
        <v>46171</v>
      </c>
      <c r="N8" s="21">
        <v>50600000</v>
      </c>
      <c r="O8" s="23">
        <f t="shared" si="1"/>
        <v>0</v>
      </c>
      <c r="P8" s="18" t="str">
        <f t="shared" si="2"/>
        <v>지급완료</v>
      </c>
      <c r="Q8" s="9"/>
    </row>
    <row r="9" spans="1:17" x14ac:dyDescent="0.4">
      <c r="A9" s="18" t="s">
        <v>347</v>
      </c>
      <c r="B9" s="20">
        <v>46142</v>
      </c>
      <c r="C9" s="18" t="s">
        <v>279</v>
      </c>
      <c r="D9" s="19" t="str">
        <f>IFERROR(VLOOKUP(C9,프로젝트!$A:$B,2,0),"")</f>
        <v>위례 근린생활시설 신축공사</v>
      </c>
      <c r="E9" s="18" t="s">
        <v>194</v>
      </c>
      <c r="F9" s="19" t="str">
        <f>IFERROR(VLOOKUP(E9,거래처!$A:$B,2,0),"")</f>
        <v>(주)동성레미콘</v>
      </c>
      <c r="G9" s="18" t="s">
        <v>91</v>
      </c>
      <c r="H9" s="9" t="s">
        <v>348</v>
      </c>
      <c r="I9" s="21">
        <v>38000000</v>
      </c>
      <c r="J9" s="22">
        <f>IF(I9="","",ROUND(I9*기준정보!$B$9,0))</f>
        <v>3800000</v>
      </c>
      <c r="K9" s="23">
        <f t="shared" si="0"/>
        <v>41800000</v>
      </c>
      <c r="L9" s="20">
        <v>46173</v>
      </c>
      <c r="M9" s="20">
        <v>46171</v>
      </c>
      <c r="N9" s="21">
        <v>41800000</v>
      </c>
      <c r="O9" s="23">
        <f t="shared" si="1"/>
        <v>0</v>
      </c>
      <c r="P9" s="18" t="str">
        <f t="shared" si="2"/>
        <v>지급완료</v>
      </c>
      <c r="Q9" s="9"/>
    </row>
    <row r="10" spans="1:17" x14ac:dyDescent="0.4">
      <c r="A10" s="18" t="s">
        <v>349</v>
      </c>
      <c r="B10" s="20">
        <v>46142</v>
      </c>
      <c r="C10" s="18" t="s">
        <v>279</v>
      </c>
      <c r="D10" s="19" t="str">
        <f>IFERROR(VLOOKUP(C10,프로젝트!$A:$B,2,0),"")</f>
        <v>위례 근린생활시설 신축공사</v>
      </c>
      <c r="E10" s="27"/>
      <c r="F10" s="19" t="str">
        <f>IFERROR(VLOOKUP(E10,거래처!$A:$B,2,0),"")</f>
        <v/>
      </c>
      <c r="G10" s="18" t="s">
        <v>113</v>
      </c>
      <c r="H10" s="9" t="s">
        <v>350</v>
      </c>
      <c r="I10" s="21">
        <v>65000000</v>
      </c>
      <c r="J10" s="21">
        <v>0</v>
      </c>
      <c r="K10" s="23">
        <f t="shared" si="0"/>
        <v>65000000</v>
      </c>
      <c r="L10" s="20">
        <v>46152</v>
      </c>
      <c r="M10" s="20">
        <v>46150</v>
      </c>
      <c r="N10" s="21">
        <v>65000000</v>
      </c>
      <c r="O10" s="23">
        <f t="shared" si="1"/>
        <v>0</v>
      </c>
      <c r="P10" s="18" t="str">
        <f t="shared" si="2"/>
        <v>지급완료</v>
      </c>
      <c r="Q10" s="9" t="s">
        <v>351</v>
      </c>
    </row>
    <row r="11" spans="1:17" x14ac:dyDescent="0.4">
      <c r="A11" s="18" t="s">
        <v>352</v>
      </c>
      <c r="B11" s="20">
        <v>46173</v>
      </c>
      <c r="C11" s="18" t="s">
        <v>279</v>
      </c>
      <c r="D11" s="19" t="str">
        <f>IFERROR(VLOOKUP(C11,프로젝트!$A:$B,2,0),"")</f>
        <v>위례 근린생활시설 신축공사</v>
      </c>
      <c r="E11" s="18" t="s">
        <v>220</v>
      </c>
      <c r="F11" s="19" t="str">
        <f>IFERROR(VLOOKUP(E11,거래처!$A:$B,2,0),"")</f>
        <v>신화설비(주)</v>
      </c>
      <c r="G11" s="18" t="s">
        <v>102</v>
      </c>
      <c r="H11" s="9" t="s">
        <v>353</v>
      </c>
      <c r="I11" s="21">
        <v>62000000</v>
      </c>
      <c r="J11" s="22">
        <f>IF(I11="","",ROUND(I11*기준정보!$B$9,0))</f>
        <v>6200000</v>
      </c>
      <c r="K11" s="23">
        <f t="shared" si="0"/>
        <v>68200000</v>
      </c>
      <c r="L11" s="20">
        <v>46203</v>
      </c>
      <c r="M11" s="20">
        <v>46203</v>
      </c>
      <c r="N11" s="21">
        <v>68200000</v>
      </c>
      <c r="O11" s="23">
        <f t="shared" si="1"/>
        <v>0</v>
      </c>
      <c r="P11" s="18" t="str">
        <f t="shared" si="2"/>
        <v>지급완료</v>
      </c>
      <c r="Q11" s="9"/>
    </row>
    <row r="12" spans="1:17" x14ac:dyDescent="0.4">
      <c r="A12" s="18" t="s">
        <v>354</v>
      </c>
      <c r="B12" s="20">
        <v>46173</v>
      </c>
      <c r="C12" s="18" t="s">
        <v>281</v>
      </c>
      <c r="D12" s="19" t="str">
        <f>IFERROR(VLOOKUP(C12,프로젝트!$A:$B,2,0),"")</f>
        <v>LH 행복주택 부대토목·조경공사</v>
      </c>
      <c r="E12" s="18" t="s">
        <v>203</v>
      </c>
      <c r="F12" s="19" t="str">
        <f>IFERROR(VLOOKUP(E12,거래처!$A:$B,2,0),"")</f>
        <v>대한철강(주)</v>
      </c>
      <c r="G12" s="18" t="s">
        <v>91</v>
      </c>
      <c r="H12" s="9" t="s">
        <v>355</v>
      </c>
      <c r="I12" s="21">
        <v>24000000</v>
      </c>
      <c r="J12" s="22">
        <f>IF(I12="","",ROUND(I12*기준정보!$B$9,0))</f>
        <v>2400000</v>
      </c>
      <c r="K12" s="23">
        <f t="shared" si="0"/>
        <v>26400000</v>
      </c>
      <c r="L12" s="20">
        <v>46203</v>
      </c>
      <c r="M12" s="20">
        <v>46203</v>
      </c>
      <c r="N12" s="21">
        <v>26400000</v>
      </c>
      <c r="O12" s="23">
        <f t="shared" si="1"/>
        <v>0</v>
      </c>
      <c r="P12" s="18" t="str">
        <f t="shared" si="2"/>
        <v>지급완료</v>
      </c>
      <c r="Q12" s="9"/>
    </row>
    <row r="13" spans="1:17" x14ac:dyDescent="0.4">
      <c r="A13" s="18" t="s">
        <v>356</v>
      </c>
      <c r="B13" s="20">
        <v>46173</v>
      </c>
      <c r="C13" s="27"/>
      <c r="D13" s="19" t="str">
        <f>IFERROR(VLOOKUP(C13,프로젝트!$A:$B,2,0),"")</f>
        <v/>
      </c>
      <c r="E13" s="18" t="s">
        <v>244</v>
      </c>
      <c r="F13" s="19" t="str">
        <f>IFERROR(VLOOKUP(E13,거래처!$A:$B,2,0),"")</f>
        <v>(주)한솔산업안전</v>
      </c>
      <c r="G13" s="18" t="s">
        <v>136</v>
      </c>
      <c r="H13" s="9" t="s">
        <v>357</v>
      </c>
      <c r="I13" s="21">
        <v>12000000</v>
      </c>
      <c r="J13" s="22">
        <f>IF(I13="","",ROUND(I13*기준정보!$B$9,0))</f>
        <v>1200000</v>
      </c>
      <c r="K13" s="23">
        <f t="shared" si="0"/>
        <v>13200000</v>
      </c>
      <c r="L13" s="20">
        <v>46188</v>
      </c>
      <c r="M13" s="20">
        <v>46188</v>
      </c>
      <c r="N13" s="21">
        <v>13200000</v>
      </c>
      <c r="O13" s="23">
        <f t="shared" si="1"/>
        <v>0</v>
      </c>
      <c r="P13" s="18" t="str">
        <f t="shared" si="2"/>
        <v>지급완료</v>
      </c>
      <c r="Q13" s="9" t="s">
        <v>344</v>
      </c>
    </row>
    <row r="14" spans="1:17" x14ac:dyDescent="0.4">
      <c r="A14" s="18" t="s">
        <v>358</v>
      </c>
      <c r="B14" s="20">
        <v>46203</v>
      </c>
      <c r="C14" s="18" t="s">
        <v>279</v>
      </c>
      <c r="D14" s="19" t="str">
        <f>IFERROR(VLOOKUP(C14,프로젝트!$A:$B,2,0),"")</f>
        <v>위례 근린생활시설 신축공사</v>
      </c>
      <c r="E14" s="18" t="s">
        <v>194</v>
      </c>
      <c r="F14" s="19" t="str">
        <f>IFERROR(VLOOKUP(E14,거래처!$A:$B,2,0),"")</f>
        <v>(주)동성레미콘</v>
      </c>
      <c r="G14" s="18" t="s">
        <v>91</v>
      </c>
      <c r="H14" s="9" t="s">
        <v>359</v>
      </c>
      <c r="I14" s="21">
        <v>35000000</v>
      </c>
      <c r="J14" s="22">
        <f>IF(I14="","",ROUND(I14*기준정보!$B$9,0))</f>
        <v>3500000</v>
      </c>
      <c r="K14" s="23">
        <f t="shared" si="0"/>
        <v>38500000</v>
      </c>
      <c r="L14" s="20">
        <v>46234</v>
      </c>
      <c r="M14" s="25"/>
      <c r="N14" s="26"/>
      <c r="O14" s="23">
        <f t="shared" si="1"/>
        <v>38500000</v>
      </c>
      <c r="P14" s="18" t="str">
        <f t="shared" si="2"/>
        <v>미지급</v>
      </c>
      <c r="Q14" s="9"/>
    </row>
    <row r="15" spans="1:17" x14ac:dyDescent="0.4">
      <c r="A15" s="18" t="s">
        <v>360</v>
      </c>
      <c r="B15" s="20">
        <v>46203</v>
      </c>
      <c r="C15" s="18" t="s">
        <v>279</v>
      </c>
      <c r="D15" s="19" t="str">
        <f>IFERROR(VLOOKUP(C15,프로젝트!$A:$B,2,0),"")</f>
        <v>위례 근린생활시설 신축공사</v>
      </c>
      <c r="E15" s="18" t="s">
        <v>211</v>
      </c>
      <c r="F15" s="19" t="str">
        <f>IFERROR(VLOOKUP(E15,거래처!$A:$B,2,0),"")</f>
        <v>(주)세움전기</v>
      </c>
      <c r="G15" s="18" t="s">
        <v>102</v>
      </c>
      <c r="H15" s="9" t="s">
        <v>361</v>
      </c>
      <c r="I15" s="21">
        <v>48000000</v>
      </c>
      <c r="J15" s="22">
        <f>IF(I15="","",ROUND(I15*기준정보!$B$9,0))</f>
        <v>4800000</v>
      </c>
      <c r="K15" s="23">
        <f t="shared" si="0"/>
        <v>52800000</v>
      </c>
      <c r="L15" s="20">
        <v>46234</v>
      </c>
      <c r="M15" s="25"/>
      <c r="N15" s="26"/>
      <c r="O15" s="23">
        <f t="shared" si="1"/>
        <v>52800000</v>
      </c>
      <c r="P15" s="18" t="str">
        <f t="shared" si="2"/>
        <v>미지급</v>
      </c>
      <c r="Q15" s="9"/>
    </row>
    <row r="16" spans="1:17" x14ac:dyDescent="0.4">
      <c r="A16" s="18" t="s">
        <v>362</v>
      </c>
      <c r="B16" s="20">
        <v>46203</v>
      </c>
      <c r="C16" s="18" t="s">
        <v>281</v>
      </c>
      <c r="D16" s="19" t="str">
        <f>IFERROR(VLOOKUP(C16,프로젝트!$A:$B,2,0),"")</f>
        <v>LH 행복주택 부대토목·조경공사</v>
      </c>
      <c r="E16" s="18" t="s">
        <v>228</v>
      </c>
      <c r="F16" s="19" t="str">
        <f>IFERROR(VLOOKUP(E16,거래처!$A:$B,2,0),"")</f>
        <v>(주)그린조경</v>
      </c>
      <c r="G16" s="18" t="s">
        <v>102</v>
      </c>
      <c r="H16" s="9" t="s">
        <v>363</v>
      </c>
      <c r="I16" s="21">
        <v>52000000</v>
      </c>
      <c r="J16" s="22">
        <f>IF(I16="","",ROUND(I16*기준정보!$B$9,0))</f>
        <v>5200000</v>
      </c>
      <c r="K16" s="23">
        <f t="shared" si="0"/>
        <v>57200000</v>
      </c>
      <c r="L16" s="20">
        <v>46234</v>
      </c>
      <c r="M16" s="25"/>
      <c r="N16" s="26"/>
      <c r="O16" s="23">
        <f t="shared" si="1"/>
        <v>57200000</v>
      </c>
      <c r="P16" s="18" t="str">
        <f t="shared" si="2"/>
        <v>미지급</v>
      </c>
      <c r="Q16" s="9"/>
    </row>
    <row r="17" spans="1:17" x14ac:dyDescent="0.4">
      <c r="A17" s="18" t="s">
        <v>364</v>
      </c>
      <c r="B17" s="20">
        <v>46203</v>
      </c>
      <c r="C17" s="18" t="s">
        <v>283</v>
      </c>
      <c r="D17" s="19" t="str">
        <f>IFERROR(VLOOKUP(C17,프로젝트!$A:$B,2,0),"")</f>
        <v>분당 사옥 리모델링공사</v>
      </c>
      <c r="E17" s="18" t="s">
        <v>236</v>
      </c>
      <c r="F17" s="19" t="str">
        <f>IFERROR(VLOOKUP(E17,거래처!$A:$B,2,0),"")</f>
        <v>대성중기</v>
      </c>
      <c r="G17" s="18" t="s">
        <v>124</v>
      </c>
      <c r="H17" s="9" t="s">
        <v>365</v>
      </c>
      <c r="I17" s="21">
        <v>9500000</v>
      </c>
      <c r="J17" s="22">
        <f>IF(I17="","",ROUND(I17*기준정보!$B$9,0))</f>
        <v>950000</v>
      </c>
      <c r="K17" s="23">
        <f t="shared" si="0"/>
        <v>10450000</v>
      </c>
      <c r="L17" s="20">
        <v>46234</v>
      </c>
      <c r="M17" s="25"/>
      <c r="N17" s="26"/>
      <c r="O17" s="23">
        <f t="shared" si="1"/>
        <v>10450000</v>
      </c>
      <c r="P17" s="18" t="str">
        <f t="shared" si="2"/>
        <v>미지급</v>
      </c>
      <c r="Q17" s="9"/>
    </row>
    <row r="18" spans="1:17" x14ac:dyDescent="0.4">
      <c r="A18" s="18" t="s">
        <v>366</v>
      </c>
      <c r="B18" s="20">
        <v>46203</v>
      </c>
      <c r="C18" s="18" t="s">
        <v>276</v>
      </c>
      <c r="D18" s="19" t="str">
        <f>IFERROR(VLOOKUP(C18,프로젝트!$A:$B,2,0),"")</f>
        <v>하남 물류센터 신축 토공사(하도급)</v>
      </c>
      <c r="E18" s="27"/>
      <c r="F18" s="19" t="str">
        <f>IFERROR(VLOOKUP(E18,거래처!$A:$B,2,0),"")</f>
        <v/>
      </c>
      <c r="G18" s="18" t="s">
        <v>113</v>
      </c>
      <c r="H18" s="9" t="s">
        <v>367</v>
      </c>
      <c r="I18" s="21">
        <v>28000000</v>
      </c>
      <c r="J18" s="21">
        <v>0</v>
      </c>
      <c r="K18" s="23">
        <f t="shared" si="0"/>
        <v>28000000</v>
      </c>
      <c r="L18" s="20">
        <v>46213</v>
      </c>
      <c r="M18" s="25"/>
      <c r="N18" s="26"/>
      <c r="O18" s="23">
        <f t="shared" si="1"/>
        <v>28000000</v>
      </c>
      <c r="P18" s="18" t="str">
        <f t="shared" si="2"/>
        <v>미지급</v>
      </c>
      <c r="Q18" s="9" t="s">
        <v>351</v>
      </c>
    </row>
    <row r="19" spans="1:17" x14ac:dyDescent="0.4">
      <c r="A19" s="18" t="s">
        <v>368</v>
      </c>
      <c r="B19" s="20">
        <v>46203</v>
      </c>
      <c r="C19" s="27"/>
      <c r="D19" s="19" t="str">
        <f>IFERROR(VLOOKUP(C19,프로젝트!$A:$B,2,0),"")</f>
        <v/>
      </c>
      <c r="E19" s="18" t="s">
        <v>253</v>
      </c>
      <c r="F19" s="19" t="str">
        <f>IFERROR(VLOOKUP(E19,거래처!$A:$B,2,0),"")</f>
        <v>김앤리세무회계</v>
      </c>
      <c r="G19" s="18" t="s">
        <v>136</v>
      </c>
      <c r="H19" s="9" t="s">
        <v>369</v>
      </c>
      <c r="I19" s="21">
        <v>900000</v>
      </c>
      <c r="J19" s="22">
        <f>IF(I19="","",ROUND(I19*기준정보!$B$9,0))</f>
        <v>90000</v>
      </c>
      <c r="K19" s="23">
        <f t="shared" si="0"/>
        <v>990000</v>
      </c>
      <c r="L19" s="20">
        <v>46213</v>
      </c>
      <c r="M19" s="25"/>
      <c r="N19" s="26"/>
      <c r="O19" s="23">
        <f t="shared" si="1"/>
        <v>990000</v>
      </c>
      <c r="P19" s="18" t="str">
        <f t="shared" si="2"/>
        <v>미지급</v>
      </c>
      <c r="Q19" s="9" t="s">
        <v>344</v>
      </c>
    </row>
  </sheetData>
  <autoFilter ref="A1:Q19"/>
  <phoneticPr fontId="9" type="noConversion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기준정보!$E$19:$E$26</xm:f>
          </x14:formula1>
          <xm:sqref>G2:G500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48235"/>
  </sheetPr>
  <dimension ref="A1:I21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11" customWidth="1"/>
    <col min="2" max="2" width="7" customWidth="1"/>
    <col min="3" max="3" width="17" customWidth="1"/>
    <col min="4" max="4" width="13" customWidth="1"/>
    <col min="5" max="5" width="30" customWidth="1"/>
    <col min="6" max="6" width="20" customWidth="1"/>
    <col min="7" max="8" width="14" customWidth="1"/>
    <col min="9" max="9" width="15" customWidth="1"/>
  </cols>
  <sheetData>
    <row r="1" spans="1:9" x14ac:dyDescent="0.4">
      <c r="A1" s="17" t="s">
        <v>326</v>
      </c>
      <c r="B1" s="17" t="s">
        <v>151</v>
      </c>
      <c r="C1" s="17" t="s">
        <v>84</v>
      </c>
      <c r="D1" s="17" t="s">
        <v>370</v>
      </c>
      <c r="E1" s="17" t="s">
        <v>294</v>
      </c>
      <c r="F1" s="17" t="s">
        <v>371</v>
      </c>
      <c r="G1" s="17" t="s">
        <v>372</v>
      </c>
      <c r="H1" s="17" t="s">
        <v>373</v>
      </c>
      <c r="I1" s="17" t="s">
        <v>374</v>
      </c>
    </row>
    <row r="2" spans="1:9" x14ac:dyDescent="0.4">
      <c r="A2" s="20">
        <v>46023</v>
      </c>
      <c r="B2" s="18" t="s">
        <v>96</v>
      </c>
      <c r="C2" s="18" t="s">
        <v>95</v>
      </c>
      <c r="D2" s="18" t="s">
        <v>97</v>
      </c>
      <c r="E2" s="9" t="s">
        <v>375</v>
      </c>
      <c r="F2" s="9"/>
      <c r="G2" s="21">
        <v>350000000</v>
      </c>
      <c r="H2" s="26"/>
      <c r="I2" s="23">
        <f>G2-H2</f>
        <v>350000000</v>
      </c>
    </row>
    <row r="3" spans="1:9" x14ac:dyDescent="0.4">
      <c r="A3" s="20">
        <v>46066</v>
      </c>
      <c r="B3" s="18" t="s">
        <v>107</v>
      </c>
      <c r="C3" s="18" t="s">
        <v>95</v>
      </c>
      <c r="D3" s="18" t="s">
        <v>108</v>
      </c>
      <c r="E3" s="9" t="s">
        <v>304</v>
      </c>
      <c r="F3" s="9" t="s">
        <v>169</v>
      </c>
      <c r="G3" s="21">
        <v>203500000</v>
      </c>
      <c r="H3" s="26"/>
      <c r="I3" s="23">
        <f t="shared" ref="I3:I21" si="0">I2+G3-H3</f>
        <v>553500000</v>
      </c>
    </row>
    <row r="4" spans="1:9" x14ac:dyDescent="0.4">
      <c r="A4" s="20">
        <v>46083</v>
      </c>
      <c r="B4" s="18" t="s">
        <v>107</v>
      </c>
      <c r="C4" s="18" t="s">
        <v>95</v>
      </c>
      <c r="D4" s="18" t="s">
        <v>108</v>
      </c>
      <c r="E4" s="9" t="s">
        <v>376</v>
      </c>
      <c r="F4" s="9" t="s">
        <v>185</v>
      </c>
      <c r="G4" s="21">
        <v>104500000</v>
      </c>
      <c r="H4" s="26"/>
      <c r="I4" s="23">
        <f t="shared" si="0"/>
        <v>658000000</v>
      </c>
    </row>
    <row r="5" spans="1:9" x14ac:dyDescent="0.4">
      <c r="A5" s="20">
        <v>46090</v>
      </c>
      <c r="B5" s="18" t="s">
        <v>107</v>
      </c>
      <c r="C5" s="18" t="s">
        <v>95</v>
      </c>
      <c r="D5" s="18" t="s">
        <v>108</v>
      </c>
      <c r="E5" s="9" t="s">
        <v>377</v>
      </c>
      <c r="F5" s="9" t="s">
        <v>175</v>
      </c>
      <c r="G5" s="21">
        <v>264000000</v>
      </c>
      <c r="H5" s="26"/>
      <c r="I5" s="23">
        <f t="shared" si="0"/>
        <v>922000000</v>
      </c>
    </row>
    <row r="6" spans="1:9" x14ac:dyDescent="0.4">
      <c r="A6" s="20">
        <v>46106</v>
      </c>
      <c r="B6" s="18" t="s">
        <v>118</v>
      </c>
      <c r="C6" s="18" t="s">
        <v>95</v>
      </c>
      <c r="D6" s="18" t="s">
        <v>144</v>
      </c>
      <c r="E6" s="9" t="s">
        <v>378</v>
      </c>
      <c r="F6" s="9"/>
      <c r="G6" s="26"/>
      <c r="H6" s="21">
        <v>42000000</v>
      </c>
      <c r="I6" s="23">
        <f t="shared" si="0"/>
        <v>880000000</v>
      </c>
    </row>
    <row r="7" spans="1:9" x14ac:dyDescent="0.4">
      <c r="A7" s="20">
        <v>46112</v>
      </c>
      <c r="B7" s="18" t="s">
        <v>118</v>
      </c>
      <c r="C7" s="18" t="s">
        <v>95</v>
      </c>
      <c r="D7" s="18" t="s">
        <v>127</v>
      </c>
      <c r="E7" s="9" t="s">
        <v>379</v>
      </c>
      <c r="F7" s="9" t="s">
        <v>195</v>
      </c>
      <c r="G7" s="26"/>
      <c r="H7" s="21">
        <v>46200000</v>
      </c>
      <c r="I7" s="23">
        <f t="shared" si="0"/>
        <v>833800000</v>
      </c>
    </row>
    <row r="8" spans="1:9" x14ac:dyDescent="0.4">
      <c r="A8" s="20">
        <v>46112</v>
      </c>
      <c r="B8" s="18" t="s">
        <v>118</v>
      </c>
      <c r="C8" s="18" t="s">
        <v>95</v>
      </c>
      <c r="D8" s="18" t="s">
        <v>127</v>
      </c>
      <c r="E8" s="9" t="s">
        <v>380</v>
      </c>
      <c r="F8" s="9" t="s">
        <v>204</v>
      </c>
      <c r="G8" s="26"/>
      <c r="H8" s="21">
        <v>74800000</v>
      </c>
      <c r="I8" s="23">
        <f t="shared" si="0"/>
        <v>759000000</v>
      </c>
    </row>
    <row r="9" spans="1:9" x14ac:dyDescent="0.4">
      <c r="A9" s="20">
        <v>46140</v>
      </c>
      <c r="B9" s="18" t="s">
        <v>107</v>
      </c>
      <c r="C9" s="18" t="s">
        <v>95</v>
      </c>
      <c r="D9" s="18" t="s">
        <v>108</v>
      </c>
      <c r="E9" s="9" t="s">
        <v>381</v>
      </c>
      <c r="F9" s="9" t="s">
        <v>160</v>
      </c>
      <c r="G9" s="21">
        <v>143000000</v>
      </c>
      <c r="H9" s="26"/>
      <c r="I9" s="23">
        <f t="shared" si="0"/>
        <v>902000000</v>
      </c>
    </row>
    <row r="10" spans="1:9" x14ac:dyDescent="0.4">
      <c r="A10" s="20">
        <v>46142</v>
      </c>
      <c r="B10" s="18" t="s">
        <v>107</v>
      </c>
      <c r="C10" s="18" t="s">
        <v>95</v>
      </c>
      <c r="D10" s="18" t="s">
        <v>108</v>
      </c>
      <c r="E10" s="9" t="s">
        <v>382</v>
      </c>
      <c r="F10" s="9" t="s">
        <v>185</v>
      </c>
      <c r="G10" s="21">
        <v>96800000</v>
      </c>
      <c r="H10" s="26"/>
      <c r="I10" s="23">
        <f t="shared" si="0"/>
        <v>998800000</v>
      </c>
    </row>
    <row r="11" spans="1:9" x14ac:dyDescent="0.4">
      <c r="A11" s="20">
        <v>46142</v>
      </c>
      <c r="B11" s="18" t="s">
        <v>118</v>
      </c>
      <c r="C11" s="18" t="s">
        <v>95</v>
      </c>
      <c r="D11" s="18" t="s">
        <v>134</v>
      </c>
      <c r="E11" s="9" t="s">
        <v>339</v>
      </c>
      <c r="F11" s="9" t="s">
        <v>212</v>
      </c>
      <c r="G11" s="26"/>
      <c r="H11" s="21">
        <v>60500000</v>
      </c>
      <c r="I11" s="23">
        <f t="shared" si="0"/>
        <v>938300000</v>
      </c>
    </row>
    <row r="12" spans="1:9" x14ac:dyDescent="0.4">
      <c r="A12" s="20">
        <v>46150</v>
      </c>
      <c r="B12" s="18" t="s">
        <v>118</v>
      </c>
      <c r="C12" s="18" t="s">
        <v>95</v>
      </c>
      <c r="D12" s="18" t="s">
        <v>139</v>
      </c>
      <c r="E12" s="9" t="s">
        <v>350</v>
      </c>
      <c r="F12" s="9"/>
      <c r="G12" s="26"/>
      <c r="H12" s="21">
        <v>65000000</v>
      </c>
      <c r="I12" s="23">
        <f t="shared" si="0"/>
        <v>873300000</v>
      </c>
    </row>
    <row r="13" spans="1:9" x14ac:dyDescent="0.4">
      <c r="A13" s="20">
        <v>46167</v>
      </c>
      <c r="B13" s="18" t="s">
        <v>118</v>
      </c>
      <c r="C13" s="18" t="s">
        <v>95</v>
      </c>
      <c r="D13" s="18" t="s">
        <v>144</v>
      </c>
      <c r="E13" s="9" t="s">
        <v>383</v>
      </c>
      <c r="F13" s="9"/>
      <c r="G13" s="26"/>
      <c r="H13" s="21">
        <v>43500000</v>
      </c>
      <c r="I13" s="23">
        <f t="shared" si="0"/>
        <v>829800000</v>
      </c>
    </row>
    <row r="14" spans="1:9" x14ac:dyDescent="0.4">
      <c r="A14" s="20">
        <v>46171</v>
      </c>
      <c r="B14" s="18" t="s">
        <v>107</v>
      </c>
      <c r="C14" s="18" t="s">
        <v>95</v>
      </c>
      <c r="D14" s="18" t="s">
        <v>108</v>
      </c>
      <c r="E14" s="9" t="s">
        <v>384</v>
      </c>
      <c r="F14" s="9" t="s">
        <v>175</v>
      </c>
      <c r="G14" s="21">
        <v>352000000</v>
      </c>
      <c r="H14" s="26"/>
      <c r="I14" s="23">
        <f t="shared" si="0"/>
        <v>1181800000</v>
      </c>
    </row>
    <row r="15" spans="1:9" x14ac:dyDescent="0.4">
      <c r="A15" s="20">
        <v>46171</v>
      </c>
      <c r="B15" s="18" t="s">
        <v>118</v>
      </c>
      <c r="C15" s="18" t="s">
        <v>95</v>
      </c>
      <c r="D15" s="18" t="s">
        <v>134</v>
      </c>
      <c r="E15" s="9" t="s">
        <v>346</v>
      </c>
      <c r="F15" s="9" t="s">
        <v>229</v>
      </c>
      <c r="G15" s="26"/>
      <c r="H15" s="21">
        <v>50600000</v>
      </c>
      <c r="I15" s="23">
        <f t="shared" si="0"/>
        <v>1131200000</v>
      </c>
    </row>
    <row r="16" spans="1:9" x14ac:dyDescent="0.4">
      <c r="A16" s="20">
        <v>46183</v>
      </c>
      <c r="B16" s="18" t="s">
        <v>118</v>
      </c>
      <c r="C16" s="18" t="s">
        <v>95</v>
      </c>
      <c r="D16" s="18" t="s">
        <v>146</v>
      </c>
      <c r="E16" s="9" t="s">
        <v>385</v>
      </c>
      <c r="F16" s="9"/>
      <c r="G16" s="26"/>
      <c r="H16" s="21">
        <v>85000000</v>
      </c>
      <c r="I16" s="23">
        <f t="shared" si="0"/>
        <v>1046200000</v>
      </c>
    </row>
    <row r="17" spans="1:9" x14ac:dyDescent="0.4">
      <c r="A17" s="20">
        <v>46198</v>
      </c>
      <c r="B17" s="18" t="s">
        <v>107</v>
      </c>
      <c r="C17" s="18" t="s">
        <v>95</v>
      </c>
      <c r="D17" s="18" t="s">
        <v>108</v>
      </c>
      <c r="E17" s="9" t="s">
        <v>386</v>
      </c>
      <c r="F17" s="9" t="s">
        <v>160</v>
      </c>
      <c r="G17" s="21">
        <v>231000000</v>
      </c>
      <c r="H17" s="26"/>
      <c r="I17" s="23">
        <f t="shared" si="0"/>
        <v>1277200000</v>
      </c>
    </row>
    <row r="18" spans="1:9" x14ac:dyDescent="0.4">
      <c r="A18" s="20">
        <v>46198</v>
      </c>
      <c r="B18" s="18" t="s">
        <v>118</v>
      </c>
      <c r="C18" s="18" t="s">
        <v>95</v>
      </c>
      <c r="D18" s="18" t="s">
        <v>144</v>
      </c>
      <c r="E18" s="9" t="s">
        <v>387</v>
      </c>
      <c r="F18" s="9"/>
      <c r="G18" s="26"/>
      <c r="H18" s="21">
        <v>43500000</v>
      </c>
      <c r="I18" s="23">
        <f t="shared" si="0"/>
        <v>1233700000</v>
      </c>
    </row>
    <row r="19" spans="1:9" x14ac:dyDescent="0.4">
      <c r="A19" s="20">
        <v>46203</v>
      </c>
      <c r="B19" s="18" t="s">
        <v>107</v>
      </c>
      <c r="C19" s="18" t="s">
        <v>95</v>
      </c>
      <c r="D19" s="18" t="s">
        <v>108</v>
      </c>
      <c r="E19" s="9" t="s">
        <v>388</v>
      </c>
      <c r="F19" s="9" t="s">
        <v>185</v>
      </c>
      <c r="G19" s="21">
        <v>55000000</v>
      </c>
      <c r="H19" s="26"/>
      <c r="I19" s="23">
        <f t="shared" si="0"/>
        <v>1288700000</v>
      </c>
    </row>
    <row r="20" spans="1:9" x14ac:dyDescent="0.4">
      <c r="A20" s="20">
        <v>46203</v>
      </c>
      <c r="B20" s="18" t="s">
        <v>118</v>
      </c>
      <c r="C20" s="18" t="s">
        <v>95</v>
      </c>
      <c r="D20" s="18" t="s">
        <v>134</v>
      </c>
      <c r="E20" s="9" t="s">
        <v>353</v>
      </c>
      <c r="F20" s="9" t="s">
        <v>221</v>
      </c>
      <c r="G20" s="26"/>
      <c r="H20" s="21">
        <v>68200000</v>
      </c>
      <c r="I20" s="23">
        <f t="shared" si="0"/>
        <v>1220500000</v>
      </c>
    </row>
    <row r="21" spans="1:9" x14ac:dyDescent="0.4">
      <c r="A21" s="20">
        <v>46204</v>
      </c>
      <c r="B21" s="18" t="s">
        <v>118</v>
      </c>
      <c r="C21" s="18" t="s">
        <v>95</v>
      </c>
      <c r="D21" s="18" t="s">
        <v>147</v>
      </c>
      <c r="E21" s="9" t="s">
        <v>389</v>
      </c>
      <c r="F21" s="9"/>
      <c r="G21" s="26"/>
      <c r="H21" s="21">
        <v>3300000</v>
      </c>
      <c r="I21" s="23">
        <f t="shared" si="0"/>
        <v>1217200000</v>
      </c>
    </row>
  </sheetData>
  <autoFilter ref="A1:I21"/>
  <phoneticPr fontId="9" type="noConversion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>
          <x14:formula1>
            <xm:f>기준정보!$J$19:$J$21</xm:f>
          </x14:formula1>
          <xm:sqref>B2:B1000</xm:sqref>
        </x14:dataValidation>
        <x14:dataValidation type="list" allowBlank="1">
          <x14:formula1>
            <xm:f>기준정보!$I$19:$I$21</xm:f>
          </x14:formula1>
          <xm:sqref>C2:C1000</xm:sqref>
        </x14:dataValidation>
        <x14:dataValidation type="list" allowBlank="1">
          <x14:formula1>
            <xm:f>기준정보!$K$19:$K$31</xm:f>
          </x14:formula1>
          <xm:sqref>D2:D1000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8F00"/>
  </sheetPr>
  <dimension ref="A1:I10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8" customWidth="1"/>
    <col min="2" max="2" width="10" customWidth="1"/>
    <col min="3" max="3" width="13" customWidth="1"/>
    <col min="4" max="4" width="10" customWidth="1"/>
    <col min="5" max="5" width="12" customWidth="1"/>
    <col min="6" max="6" width="10" customWidth="1"/>
    <col min="7" max="7" width="15" customWidth="1"/>
    <col min="8" max="8" width="22" customWidth="1"/>
    <col min="9" max="9" width="16" customWidth="1"/>
  </cols>
  <sheetData>
    <row r="1" spans="1:9" x14ac:dyDescent="0.4">
      <c r="A1" s="17" t="s">
        <v>38</v>
      </c>
      <c r="B1" s="17" t="s">
        <v>390</v>
      </c>
      <c r="C1" s="17" t="s">
        <v>81</v>
      </c>
      <c r="D1" s="17" t="s">
        <v>82</v>
      </c>
      <c r="E1" s="17" t="s">
        <v>391</v>
      </c>
      <c r="F1" s="17" t="s">
        <v>83</v>
      </c>
      <c r="G1" s="17" t="s">
        <v>392</v>
      </c>
      <c r="H1" s="17" t="s">
        <v>155</v>
      </c>
      <c r="I1" s="17" t="s">
        <v>158</v>
      </c>
    </row>
    <row r="2" spans="1:9" x14ac:dyDescent="0.4">
      <c r="A2" s="18" t="s">
        <v>393</v>
      </c>
      <c r="B2" s="18" t="s">
        <v>394</v>
      </c>
      <c r="C2" s="18" t="s">
        <v>92</v>
      </c>
      <c r="D2" s="18" t="s">
        <v>93</v>
      </c>
      <c r="E2" s="20">
        <v>42065</v>
      </c>
      <c r="F2" s="18" t="s">
        <v>94</v>
      </c>
      <c r="G2" s="18" t="s">
        <v>395</v>
      </c>
      <c r="H2" s="9" t="s">
        <v>396</v>
      </c>
      <c r="I2" s="9"/>
    </row>
    <row r="3" spans="1:9" x14ac:dyDescent="0.4">
      <c r="A3" s="18" t="s">
        <v>397</v>
      </c>
      <c r="B3" s="18" t="s">
        <v>398</v>
      </c>
      <c r="C3" s="18" t="s">
        <v>92</v>
      </c>
      <c r="D3" s="18" t="s">
        <v>104</v>
      </c>
      <c r="E3" s="20">
        <v>42870</v>
      </c>
      <c r="F3" s="18" t="s">
        <v>94</v>
      </c>
      <c r="G3" s="18" t="s">
        <v>399</v>
      </c>
      <c r="H3" s="9" t="s">
        <v>400</v>
      </c>
      <c r="I3" s="9" t="s">
        <v>401</v>
      </c>
    </row>
    <row r="4" spans="1:9" x14ac:dyDescent="0.4">
      <c r="A4" s="18" t="s">
        <v>402</v>
      </c>
      <c r="B4" s="18" t="s">
        <v>403</v>
      </c>
      <c r="C4" s="18" t="s">
        <v>103</v>
      </c>
      <c r="D4" s="18" t="s">
        <v>115</v>
      </c>
      <c r="E4" s="20">
        <v>43132</v>
      </c>
      <c r="F4" s="18" t="s">
        <v>94</v>
      </c>
      <c r="G4" s="18" t="s">
        <v>404</v>
      </c>
      <c r="H4" s="9" t="s">
        <v>405</v>
      </c>
      <c r="I4" s="9"/>
    </row>
    <row r="5" spans="1:9" x14ac:dyDescent="0.4">
      <c r="A5" s="18" t="s">
        <v>406</v>
      </c>
      <c r="B5" s="18" t="s">
        <v>274</v>
      </c>
      <c r="C5" s="18" t="s">
        <v>125</v>
      </c>
      <c r="D5" s="18" t="s">
        <v>126</v>
      </c>
      <c r="E5" s="20">
        <v>43647</v>
      </c>
      <c r="F5" s="18" t="s">
        <v>94</v>
      </c>
      <c r="G5" s="18" t="s">
        <v>407</v>
      </c>
      <c r="H5" s="9" t="s">
        <v>408</v>
      </c>
      <c r="I5" s="9" t="s">
        <v>409</v>
      </c>
    </row>
    <row r="6" spans="1:9" x14ac:dyDescent="0.4">
      <c r="A6" s="18" t="s">
        <v>410</v>
      </c>
      <c r="B6" s="18" t="s">
        <v>291</v>
      </c>
      <c r="C6" s="18" t="s">
        <v>114</v>
      </c>
      <c r="D6" s="18" t="s">
        <v>133</v>
      </c>
      <c r="E6" s="20">
        <v>43906</v>
      </c>
      <c r="F6" s="18" t="s">
        <v>94</v>
      </c>
      <c r="G6" s="18" t="s">
        <v>411</v>
      </c>
      <c r="H6" s="9" t="s">
        <v>412</v>
      </c>
      <c r="I6" s="9"/>
    </row>
    <row r="7" spans="1:9" x14ac:dyDescent="0.4">
      <c r="A7" s="18" t="s">
        <v>413</v>
      </c>
      <c r="B7" s="18" t="s">
        <v>278</v>
      </c>
      <c r="C7" s="18" t="s">
        <v>125</v>
      </c>
      <c r="D7" s="18" t="s">
        <v>133</v>
      </c>
      <c r="E7" s="20">
        <v>44200</v>
      </c>
      <c r="F7" s="18" t="s">
        <v>94</v>
      </c>
      <c r="G7" s="18" t="s">
        <v>414</v>
      </c>
      <c r="H7" s="9" t="s">
        <v>415</v>
      </c>
      <c r="I7" s="9" t="s">
        <v>409</v>
      </c>
    </row>
    <row r="8" spans="1:9" x14ac:dyDescent="0.4">
      <c r="A8" s="18" t="s">
        <v>416</v>
      </c>
      <c r="B8" s="18" t="s">
        <v>417</v>
      </c>
      <c r="C8" s="18" t="s">
        <v>103</v>
      </c>
      <c r="D8" s="18" t="s">
        <v>138</v>
      </c>
      <c r="E8" s="20">
        <v>44652</v>
      </c>
      <c r="F8" s="18" t="s">
        <v>94</v>
      </c>
      <c r="G8" s="18" t="s">
        <v>418</v>
      </c>
      <c r="H8" s="9" t="s">
        <v>419</v>
      </c>
      <c r="I8" s="9"/>
    </row>
    <row r="9" spans="1:9" x14ac:dyDescent="0.4">
      <c r="A9" s="18" t="s">
        <v>420</v>
      </c>
      <c r="B9" s="18" t="s">
        <v>421</v>
      </c>
      <c r="C9" s="18" t="s">
        <v>132</v>
      </c>
      <c r="D9" s="18" t="s">
        <v>143</v>
      </c>
      <c r="E9" s="20">
        <v>45537</v>
      </c>
      <c r="F9" s="18" t="s">
        <v>94</v>
      </c>
      <c r="G9" s="18" t="s">
        <v>422</v>
      </c>
      <c r="H9" s="9" t="s">
        <v>423</v>
      </c>
      <c r="I9" s="9"/>
    </row>
    <row r="10" spans="1:9" x14ac:dyDescent="0.4">
      <c r="A10" s="18" t="s">
        <v>424</v>
      </c>
      <c r="B10" s="18" t="s">
        <v>425</v>
      </c>
      <c r="C10" s="18" t="s">
        <v>114</v>
      </c>
      <c r="D10" s="18" t="s">
        <v>138</v>
      </c>
      <c r="E10" s="20">
        <v>44348</v>
      </c>
      <c r="F10" s="18" t="s">
        <v>116</v>
      </c>
      <c r="G10" s="18" t="s">
        <v>426</v>
      </c>
      <c r="H10" s="9"/>
      <c r="I10" s="9" t="s">
        <v>427</v>
      </c>
    </row>
  </sheetData>
  <autoFilter ref="A1:I10"/>
  <phoneticPr fontId="9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>
          <x14:formula1>
            <xm:f>기준정보!$F$19:$F$24</xm:f>
          </x14:formula1>
          <xm:sqref>C2:C300</xm:sqref>
        </x14:dataValidation>
        <x14:dataValidation type="list" allowBlank="1">
          <x14:formula1>
            <xm:f>기준정보!$G$19:$G$26</xm:f>
          </x14:formula1>
          <xm:sqref>D2:D300</xm:sqref>
        </x14:dataValidation>
        <x14:dataValidation type="list" allowBlank="1">
          <x14:formula1>
            <xm:f>기준정보!$H$19:$H$21</xm:f>
          </x14:formula1>
          <xm:sqref>F2:F300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BF8F00"/>
  </sheetPr>
  <dimension ref="A1:Q17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10" customWidth="1"/>
    <col min="2" max="2" width="8" customWidth="1"/>
    <col min="3" max="3" width="9" customWidth="1"/>
    <col min="4" max="4" width="13" customWidth="1"/>
    <col min="5" max="5" width="12" customWidth="1"/>
    <col min="6" max="6" width="11" customWidth="1"/>
    <col min="7" max="7" width="13" customWidth="1"/>
    <col min="8" max="11" width="11" customWidth="1"/>
    <col min="12" max="12" width="10" customWidth="1"/>
    <col min="13" max="14" width="12" customWidth="1"/>
    <col min="15" max="15" width="13" customWidth="1"/>
    <col min="16" max="16" width="11" customWidth="1"/>
    <col min="17" max="17" width="10" customWidth="1"/>
  </cols>
  <sheetData>
    <row r="1" spans="1:17" x14ac:dyDescent="0.4">
      <c r="A1" s="17" t="s">
        <v>428</v>
      </c>
      <c r="B1" s="17" t="s">
        <v>38</v>
      </c>
      <c r="C1" s="17" t="s">
        <v>390</v>
      </c>
      <c r="D1" s="17" t="s">
        <v>81</v>
      </c>
      <c r="E1" s="17" t="s">
        <v>429</v>
      </c>
      <c r="F1" s="17" t="s">
        <v>430</v>
      </c>
      <c r="G1" s="17" t="s">
        <v>431</v>
      </c>
      <c r="H1" s="17" t="s">
        <v>432</v>
      </c>
      <c r="I1" s="17" t="s">
        <v>433</v>
      </c>
      <c r="J1" s="17" t="s">
        <v>434</v>
      </c>
      <c r="K1" s="17" t="s">
        <v>435</v>
      </c>
      <c r="L1" s="17" t="s">
        <v>436</v>
      </c>
      <c r="M1" s="17" t="s">
        <v>437</v>
      </c>
      <c r="N1" s="17" t="s">
        <v>438</v>
      </c>
      <c r="O1" s="17" t="s">
        <v>439</v>
      </c>
      <c r="P1" s="17" t="s">
        <v>328</v>
      </c>
      <c r="Q1" s="17" t="s">
        <v>158</v>
      </c>
    </row>
    <row r="2" spans="1:17" x14ac:dyDescent="0.4">
      <c r="A2" s="28">
        <v>46143</v>
      </c>
      <c r="B2" s="18" t="s">
        <v>393</v>
      </c>
      <c r="C2" s="29" t="str">
        <f>IFERROR(VLOOKUP(B2,인사명부!$A:$B,2,0),"")</f>
        <v>김정호</v>
      </c>
      <c r="D2" s="29" t="str">
        <f>IFERROR(VLOOKUP(B2,인사명부!$A:$C,3,0),"")</f>
        <v>임원</v>
      </c>
      <c r="E2" s="21">
        <v>9000000</v>
      </c>
      <c r="F2" s="21">
        <v>1000000</v>
      </c>
      <c r="G2" s="23">
        <f t="shared" ref="G2:G17" si="0">E2+F2</f>
        <v>10000000</v>
      </c>
      <c r="H2" s="22">
        <f>ROUND(G2*기준정보!$B$12,0)</f>
        <v>450000</v>
      </c>
      <c r="I2" s="22">
        <f>ROUND(G2*기준정보!$B$13,0)</f>
        <v>354500</v>
      </c>
      <c r="J2" s="22">
        <f>ROUND(I2*기준정보!$B$14,0)</f>
        <v>45908</v>
      </c>
      <c r="K2" s="22">
        <f>ROUND(G2*기준정보!$B$15,0)</f>
        <v>90000</v>
      </c>
      <c r="L2" s="21">
        <v>950000</v>
      </c>
      <c r="M2" s="23">
        <f t="shared" ref="M2:M17" si="1">ROUND(L2*0.1,0)</f>
        <v>95000</v>
      </c>
      <c r="N2" s="23">
        <f t="shared" ref="N2:N17" si="2">SUM(H2:M2)</f>
        <v>1985408</v>
      </c>
      <c r="O2" s="23">
        <f t="shared" ref="O2:O17" si="3">G2-N2</f>
        <v>8014592</v>
      </c>
      <c r="P2" s="20">
        <v>46167</v>
      </c>
      <c r="Q2" s="9"/>
    </row>
    <row r="3" spans="1:17" x14ac:dyDescent="0.4">
      <c r="A3" s="28">
        <v>46143</v>
      </c>
      <c r="B3" s="18" t="s">
        <v>397</v>
      </c>
      <c r="C3" s="29" t="str">
        <f>IFERROR(VLOOKUP(B3,인사명부!$A:$B,2,0),"")</f>
        <v>박성웅</v>
      </c>
      <c r="D3" s="29" t="str">
        <f>IFERROR(VLOOKUP(B3,인사명부!$A:$C,3,0),"")</f>
        <v>임원</v>
      </c>
      <c r="E3" s="21">
        <v>7500000</v>
      </c>
      <c r="F3" s="21">
        <v>800000</v>
      </c>
      <c r="G3" s="23">
        <f t="shared" si="0"/>
        <v>8300000</v>
      </c>
      <c r="H3" s="22">
        <f>ROUND(G3*기준정보!$B$12,0)</f>
        <v>373500</v>
      </c>
      <c r="I3" s="22">
        <f>ROUND(G3*기준정보!$B$13,0)</f>
        <v>294235</v>
      </c>
      <c r="J3" s="22">
        <f>ROUND(I3*기준정보!$B$14,0)</f>
        <v>38103</v>
      </c>
      <c r="K3" s="22">
        <f>ROUND(G3*기준정보!$B$15,0)</f>
        <v>74700</v>
      </c>
      <c r="L3" s="21">
        <v>620000</v>
      </c>
      <c r="M3" s="23">
        <f t="shared" si="1"/>
        <v>62000</v>
      </c>
      <c r="N3" s="23">
        <f t="shared" si="2"/>
        <v>1462538</v>
      </c>
      <c r="O3" s="23">
        <f t="shared" si="3"/>
        <v>6837462</v>
      </c>
      <c r="P3" s="20">
        <v>46167</v>
      </c>
      <c r="Q3" s="9"/>
    </row>
    <row r="4" spans="1:17" x14ac:dyDescent="0.4">
      <c r="A4" s="28">
        <v>46143</v>
      </c>
      <c r="B4" s="18" t="s">
        <v>402</v>
      </c>
      <c r="C4" s="29" t="str">
        <f>IFERROR(VLOOKUP(B4,인사명부!$A:$B,2,0),"")</f>
        <v>이미란</v>
      </c>
      <c r="D4" s="29" t="str">
        <f>IFERROR(VLOOKUP(B4,인사명부!$A:$C,3,0),"")</f>
        <v>경영지원부</v>
      </c>
      <c r="E4" s="21">
        <v>5800000</v>
      </c>
      <c r="F4" s="21">
        <v>600000</v>
      </c>
      <c r="G4" s="23">
        <f t="shared" si="0"/>
        <v>6400000</v>
      </c>
      <c r="H4" s="22">
        <f>ROUND(G4*기준정보!$B$12,0)</f>
        <v>288000</v>
      </c>
      <c r="I4" s="22">
        <f>ROUND(G4*기준정보!$B$13,0)</f>
        <v>226880</v>
      </c>
      <c r="J4" s="22">
        <f>ROUND(I4*기준정보!$B$14,0)</f>
        <v>29381</v>
      </c>
      <c r="K4" s="22">
        <f>ROUND(G4*기준정보!$B$15,0)</f>
        <v>57600</v>
      </c>
      <c r="L4" s="21">
        <v>380000</v>
      </c>
      <c r="M4" s="23">
        <f t="shared" si="1"/>
        <v>38000</v>
      </c>
      <c r="N4" s="23">
        <f t="shared" si="2"/>
        <v>1019861</v>
      </c>
      <c r="O4" s="23">
        <f t="shared" si="3"/>
        <v>5380139</v>
      </c>
      <c r="P4" s="20">
        <v>46167</v>
      </c>
      <c r="Q4" s="9"/>
    </row>
    <row r="5" spans="1:17" x14ac:dyDescent="0.4">
      <c r="A5" s="28">
        <v>46143</v>
      </c>
      <c r="B5" s="18" t="s">
        <v>406</v>
      </c>
      <c r="C5" s="29" t="str">
        <f>IFERROR(VLOOKUP(B5,인사명부!$A:$B,2,0),"")</f>
        <v>한상길</v>
      </c>
      <c r="D5" s="29" t="str">
        <f>IFERROR(VLOOKUP(B5,인사명부!$A:$C,3,0),"")</f>
        <v>공사부</v>
      </c>
      <c r="E5" s="21">
        <v>5200000</v>
      </c>
      <c r="F5" s="21">
        <v>900000</v>
      </c>
      <c r="G5" s="23">
        <f t="shared" si="0"/>
        <v>6100000</v>
      </c>
      <c r="H5" s="22">
        <f>ROUND(G5*기준정보!$B$12,0)</f>
        <v>274500</v>
      </c>
      <c r="I5" s="22">
        <f>ROUND(G5*기준정보!$B$13,0)</f>
        <v>216245</v>
      </c>
      <c r="J5" s="22">
        <f>ROUND(I5*기준정보!$B$14,0)</f>
        <v>28004</v>
      </c>
      <c r="K5" s="22">
        <f>ROUND(G5*기준정보!$B$15,0)</f>
        <v>54900</v>
      </c>
      <c r="L5" s="21">
        <v>320000</v>
      </c>
      <c r="M5" s="23">
        <f t="shared" si="1"/>
        <v>32000</v>
      </c>
      <c r="N5" s="23">
        <f t="shared" si="2"/>
        <v>925649</v>
      </c>
      <c r="O5" s="23">
        <f t="shared" si="3"/>
        <v>5174351</v>
      </c>
      <c r="P5" s="20">
        <v>46167</v>
      </c>
      <c r="Q5" s="9"/>
    </row>
    <row r="6" spans="1:17" x14ac:dyDescent="0.4">
      <c r="A6" s="28">
        <v>46143</v>
      </c>
      <c r="B6" s="18" t="s">
        <v>410</v>
      </c>
      <c r="C6" s="29" t="str">
        <f>IFERROR(VLOOKUP(B6,인사명부!$A:$B,2,0),"")</f>
        <v>최준혁</v>
      </c>
      <c r="D6" s="29" t="str">
        <f>IFERROR(VLOOKUP(B6,인사명부!$A:$C,3,0),"")</f>
        <v>공무부</v>
      </c>
      <c r="E6" s="21">
        <v>4600000</v>
      </c>
      <c r="F6" s="21">
        <v>500000</v>
      </c>
      <c r="G6" s="23">
        <f t="shared" si="0"/>
        <v>5100000</v>
      </c>
      <c r="H6" s="22">
        <f>ROUND(G6*기준정보!$B$12,0)</f>
        <v>229500</v>
      </c>
      <c r="I6" s="22">
        <f>ROUND(G6*기준정보!$B$13,0)</f>
        <v>180795</v>
      </c>
      <c r="J6" s="22">
        <f>ROUND(I6*기준정보!$B$14,0)</f>
        <v>23413</v>
      </c>
      <c r="K6" s="22">
        <f>ROUND(G6*기준정보!$B$15,0)</f>
        <v>45900</v>
      </c>
      <c r="L6" s="21">
        <v>240000</v>
      </c>
      <c r="M6" s="23">
        <f t="shared" si="1"/>
        <v>24000</v>
      </c>
      <c r="N6" s="23">
        <f t="shared" si="2"/>
        <v>743608</v>
      </c>
      <c r="O6" s="23">
        <f t="shared" si="3"/>
        <v>4356392</v>
      </c>
      <c r="P6" s="20">
        <v>46167</v>
      </c>
      <c r="Q6" s="9"/>
    </row>
    <row r="7" spans="1:17" x14ac:dyDescent="0.4">
      <c r="A7" s="28">
        <v>46143</v>
      </c>
      <c r="B7" s="18" t="s">
        <v>413</v>
      </c>
      <c r="C7" s="29" t="str">
        <f>IFERROR(VLOOKUP(B7,인사명부!$A:$B,2,0),"")</f>
        <v>오민재</v>
      </c>
      <c r="D7" s="29" t="str">
        <f>IFERROR(VLOOKUP(B7,인사명부!$A:$C,3,0),"")</f>
        <v>공사부</v>
      </c>
      <c r="E7" s="21">
        <v>4500000</v>
      </c>
      <c r="F7" s="21">
        <v>800000</v>
      </c>
      <c r="G7" s="23">
        <f t="shared" si="0"/>
        <v>5300000</v>
      </c>
      <c r="H7" s="22">
        <f>ROUND(G7*기준정보!$B$12,0)</f>
        <v>238500</v>
      </c>
      <c r="I7" s="22">
        <f>ROUND(G7*기준정보!$B$13,0)</f>
        <v>187885</v>
      </c>
      <c r="J7" s="22">
        <f>ROUND(I7*기준정보!$B$14,0)</f>
        <v>24331</v>
      </c>
      <c r="K7" s="22">
        <f>ROUND(G7*기준정보!$B$15,0)</f>
        <v>47700</v>
      </c>
      <c r="L7" s="21">
        <v>230000</v>
      </c>
      <c r="M7" s="23">
        <f t="shared" si="1"/>
        <v>23000</v>
      </c>
      <c r="N7" s="23">
        <f t="shared" si="2"/>
        <v>751416</v>
      </c>
      <c r="O7" s="23">
        <f t="shared" si="3"/>
        <v>4548584</v>
      </c>
      <c r="P7" s="20">
        <v>46167</v>
      </c>
      <c r="Q7" s="9"/>
    </row>
    <row r="8" spans="1:17" x14ac:dyDescent="0.4">
      <c r="A8" s="28">
        <v>46143</v>
      </c>
      <c r="B8" s="18" t="s">
        <v>416</v>
      </c>
      <c r="C8" s="29" t="str">
        <f>IFERROR(VLOOKUP(B8,인사명부!$A:$B,2,0),"")</f>
        <v>정다은</v>
      </c>
      <c r="D8" s="29" t="str">
        <f>IFERROR(VLOOKUP(B8,인사명부!$A:$C,3,0),"")</f>
        <v>경영지원부</v>
      </c>
      <c r="E8" s="21">
        <v>3800000</v>
      </c>
      <c r="F8" s="21">
        <v>300000</v>
      </c>
      <c r="G8" s="23">
        <f t="shared" si="0"/>
        <v>4100000</v>
      </c>
      <c r="H8" s="22">
        <f>ROUND(G8*기준정보!$B$12,0)</f>
        <v>184500</v>
      </c>
      <c r="I8" s="22">
        <f>ROUND(G8*기준정보!$B$13,0)</f>
        <v>145345</v>
      </c>
      <c r="J8" s="22">
        <f>ROUND(I8*기준정보!$B$14,0)</f>
        <v>18822</v>
      </c>
      <c r="K8" s="22">
        <f>ROUND(G8*기준정보!$B$15,0)</f>
        <v>36900</v>
      </c>
      <c r="L8" s="21">
        <v>120000</v>
      </c>
      <c r="M8" s="23">
        <f t="shared" si="1"/>
        <v>12000</v>
      </c>
      <c r="N8" s="23">
        <f t="shared" si="2"/>
        <v>517567</v>
      </c>
      <c r="O8" s="23">
        <f t="shared" si="3"/>
        <v>3582433</v>
      </c>
      <c r="P8" s="20">
        <v>46167</v>
      </c>
      <c r="Q8" s="9"/>
    </row>
    <row r="9" spans="1:17" x14ac:dyDescent="0.4">
      <c r="A9" s="28">
        <v>46143</v>
      </c>
      <c r="B9" s="18" t="s">
        <v>420</v>
      </c>
      <c r="C9" s="29" t="str">
        <f>IFERROR(VLOOKUP(B9,인사명부!$A:$B,2,0),"")</f>
        <v>강지훈</v>
      </c>
      <c r="D9" s="29" t="str">
        <f>IFERROR(VLOOKUP(B9,인사명부!$A:$C,3,0),"")</f>
        <v>안전관리부</v>
      </c>
      <c r="E9" s="21">
        <v>3200000</v>
      </c>
      <c r="F9" s="21">
        <v>300000</v>
      </c>
      <c r="G9" s="23">
        <f t="shared" si="0"/>
        <v>3500000</v>
      </c>
      <c r="H9" s="22">
        <f>ROUND(G9*기준정보!$B$12,0)</f>
        <v>157500</v>
      </c>
      <c r="I9" s="22">
        <f>ROUND(G9*기준정보!$B$13,0)</f>
        <v>124075</v>
      </c>
      <c r="J9" s="22">
        <f>ROUND(I9*기준정보!$B$14,0)</f>
        <v>16068</v>
      </c>
      <c r="K9" s="22">
        <f>ROUND(G9*기준정보!$B$15,0)</f>
        <v>31500</v>
      </c>
      <c r="L9" s="21">
        <v>80000</v>
      </c>
      <c r="M9" s="23">
        <f t="shared" si="1"/>
        <v>8000</v>
      </c>
      <c r="N9" s="23">
        <f t="shared" si="2"/>
        <v>417143</v>
      </c>
      <c r="O9" s="23">
        <f t="shared" si="3"/>
        <v>3082857</v>
      </c>
      <c r="P9" s="20">
        <v>46167</v>
      </c>
      <c r="Q9" s="9"/>
    </row>
    <row r="10" spans="1:17" x14ac:dyDescent="0.4">
      <c r="A10" s="28">
        <v>46174</v>
      </c>
      <c r="B10" s="18" t="s">
        <v>393</v>
      </c>
      <c r="C10" s="29" t="str">
        <f>IFERROR(VLOOKUP(B10,인사명부!$A:$B,2,0),"")</f>
        <v>김정호</v>
      </c>
      <c r="D10" s="29" t="str">
        <f>IFERROR(VLOOKUP(B10,인사명부!$A:$C,3,0),"")</f>
        <v>임원</v>
      </c>
      <c r="E10" s="21">
        <v>9000000</v>
      </c>
      <c r="F10" s="21">
        <v>1000000</v>
      </c>
      <c r="G10" s="23">
        <f t="shared" si="0"/>
        <v>10000000</v>
      </c>
      <c r="H10" s="22">
        <f>ROUND(G10*기준정보!$B$12,0)</f>
        <v>450000</v>
      </c>
      <c r="I10" s="22">
        <f>ROUND(G10*기준정보!$B$13,0)</f>
        <v>354500</v>
      </c>
      <c r="J10" s="22">
        <f>ROUND(I10*기준정보!$B$14,0)</f>
        <v>45908</v>
      </c>
      <c r="K10" s="22">
        <f>ROUND(G10*기준정보!$B$15,0)</f>
        <v>90000</v>
      </c>
      <c r="L10" s="21">
        <v>950000</v>
      </c>
      <c r="M10" s="23">
        <f t="shared" si="1"/>
        <v>95000</v>
      </c>
      <c r="N10" s="23">
        <f t="shared" si="2"/>
        <v>1985408</v>
      </c>
      <c r="O10" s="23">
        <f t="shared" si="3"/>
        <v>8014592</v>
      </c>
      <c r="P10" s="20">
        <v>46198</v>
      </c>
      <c r="Q10" s="9"/>
    </row>
    <row r="11" spans="1:17" x14ac:dyDescent="0.4">
      <c r="A11" s="28">
        <v>46174</v>
      </c>
      <c r="B11" s="18" t="s">
        <v>397</v>
      </c>
      <c r="C11" s="29" t="str">
        <f>IFERROR(VLOOKUP(B11,인사명부!$A:$B,2,0),"")</f>
        <v>박성웅</v>
      </c>
      <c r="D11" s="29" t="str">
        <f>IFERROR(VLOOKUP(B11,인사명부!$A:$C,3,0),"")</f>
        <v>임원</v>
      </c>
      <c r="E11" s="21">
        <v>7500000</v>
      </c>
      <c r="F11" s="21">
        <v>800000</v>
      </c>
      <c r="G11" s="23">
        <f t="shared" si="0"/>
        <v>8300000</v>
      </c>
      <c r="H11" s="22">
        <f>ROUND(G11*기준정보!$B$12,0)</f>
        <v>373500</v>
      </c>
      <c r="I11" s="22">
        <f>ROUND(G11*기준정보!$B$13,0)</f>
        <v>294235</v>
      </c>
      <c r="J11" s="22">
        <f>ROUND(I11*기준정보!$B$14,0)</f>
        <v>38103</v>
      </c>
      <c r="K11" s="22">
        <f>ROUND(G11*기준정보!$B$15,0)</f>
        <v>74700</v>
      </c>
      <c r="L11" s="21">
        <v>620000</v>
      </c>
      <c r="M11" s="23">
        <f t="shared" si="1"/>
        <v>62000</v>
      </c>
      <c r="N11" s="23">
        <f t="shared" si="2"/>
        <v>1462538</v>
      </c>
      <c r="O11" s="23">
        <f t="shared" si="3"/>
        <v>6837462</v>
      </c>
      <c r="P11" s="20">
        <v>46198</v>
      </c>
      <c r="Q11" s="9"/>
    </row>
    <row r="12" spans="1:17" x14ac:dyDescent="0.4">
      <c r="A12" s="28">
        <v>46174</v>
      </c>
      <c r="B12" s="18" t="s">
        <v>402</v>
      </c>
      <c r="C12" s="29" t="str">
        <f>IFERROR(VLOOKUP(B12,인사명부!$A:$B,2,0),"")</f>
        <v>이미란</v>
      </c>
      <c r="D12" s="29" t="str">
        <f>IFERROR(VLOOKUP(B12,인사명부!$A:$C,3,0),"")</f>
        <v>경영지원부</v>
      </c>
      <c r="E12" s="21">
        <v>5800000</v>
      </c>
      <c r="F12" s="21">
        <v>600000</v>
      </c>
      <c r="G12" s="23">
        <f t="shared" si="0"/>
        <v>6400000</v>
      </c>
      <c r="H12" s="22">
        <f>ROUND(G12*기준정보!$B$12,0)</f>
        <v>288000</v>
      </c>
      <c r="I12" s="22">
        <f>ROUND(G12*기준정보!$B$13,0)</f>
        <v>226880</v>
      </c>
      <c r="J12" s="22">
        <f>ROUND(I12*기준정보!$B$14,0)</f>
        <v>29381</v>
      </c>
      <c r="K12" s="22">
        <f>ROUND(G12*기준정보!$B$15,0)</f>
        <v>57600</v>
      </c>
      <c r="L12" s="21">
        <v>380000</v>
      </c>
      <c r="M12" s="23">
        <f t="shared" si="1"/>
        <v>38000</v>
      </c>
      <c r="N12" s="23">
        <f t="shared" si="2"/>
        <v>1019861</v>
      </c>
      <c r="O12" s="23">
        <f t="shared" si="3"/>
        <v>5380139</v>
      </c>
      <c r="P12" s="20">
        <v>46198</v>
      </c>
      <c r="Q12" s="9"/>
    </row>
    <row r="13" spans="1:17" x14ac:dyDescent="0.4">
      <c r="A13" s="28">
        <v>46174</v>
      </c>
      <c r="B13" s="18" t="s">
        <v>406</v>
      </c>
      <c r="C13" s="29" t="str">
        <f>IFERROR(VLOOKUP(B13,인사명부!$A:$B,2,0),"")</f>
        <v>한상길</v>
      </c>
      <c r="D13" s="29" t="str">
        <f>IFERROR(VLOOKUP(B13,인사명부!$A:$C,3,0),"")</f>
        <v>공사부</v>
      </c>
      <c r="E13" s="21">
        <v>5200000</v>
      </c>
      <c r="F13" s="21">
        <v>900000</v>
      </c>
      <c r="G13" s="23">
        <f t="shared" si="0"/>
        <v>6100000</v>
      </c>
      <c r="H13" s="22">
        <f>ROUND(G13*기준정보!$B$12,0)</f>
        <v>274500</v>
      </c>
      <c r="I13" s="22">
        <f>ROUND(G13*기준정보!$B$13,0)</f>
        <v>216245</v>
      </c>
      <c r="J13" s="22">
        <f>ROUND(I13*기준정보!$B$14,0)</f>
        <v>28004</v>
      </c>
      <c r="K13" s="22">
        <f>ROUND(G13*기준정보!$B$15,0)</f>
        <v>54900</v>
      </c>
      <c r="L13" s="21">
        <v>320000</v>
      </c>
      <c r="M13" s="23">
        <f t="shared" si="1"/>
        <v>32000</v>
      </c>
      <c r="N13" s="23">
        <f t="shared" si="2"/>
        <v>925649</v>
      </c>
      <c r="O13" s="23">
        <f t="shared" si="3"/>
        <v>5174351</v>
      </c>
      <c r="P13" s="20">
        <v>46198</v>
      </c>
      <c r="Q13" s="9"/>
    </row>
    <row r="14" spans="1:17" x14ac:dyDescent="0.4">
      <c r="A14" s="28">
        <v>46174</v>
      </c>
      <c r="B14" s="18" t="s">
        <v>410</v>
      </c>
      <c r="C14" s="29" t="str">
        <f>IFERROR(VLOOKUP(B14,인사명부!$A:$B,2,0),"")</f>
        <v>최준혁</v>
      </c>
      <c r="D14" s="29" t="str">
        <f>IFERROR(VLOOKUP(B14,인사명부!$A:$C,3,0),"")</f>
        <v>공무부</v>
      </c>
      <c r="E14" s="21">
        <v>4600000</v>
      </c>
      <c r="F14" s="21">
        <v>500000</v>
      </c>
      <c r="G14" s="23">
        <f t="shared" si="0"/>
        <v>5100000</v>
      </c>
      <c r="H14" s="22">
        <f>ROUND(G14*기준정보!$B$12,0)</f>
        <v>229500</v>
      </c>
      <c r="I14" s="22">
        <f>ROUND(G14*기준정보!$B$13,0)</f>
        <v>180795</v>
      </c>
      <c r="J14" s="22">
        <f>ROUND(I14*기준정보!$B$14,0)</f>
        <v>23413</v>
      </c>
      <c r="K14" s="22">
        <f>ROUND(G14*기준정보!$B$15,0)</f>
        <v>45900</v>
      </c>
      <c r="L14" s="21">
        <v>240000</v>
      </c>
      <c r="M14" s="23">
        <f t="shared" si="1"/>
        <v>24000</v>
      </c>
      <c r="N14" s="23">
        <f t="shared" si="2"/>
        <v>743608</v>
      </c>
      <c r="O14" s="23">
        <f t="shared" si="3"/>
        <v>4356392</v>
      </c>
      <c r="P14" s="20">
        <v>46198</v>
      </c>
      <c r="Q14" s="9"/>
    </row>
    <row r="15" spans="1:17" x14ac:dyDescent="0.4">
      <c r="A15" s="28">
        <v>46174</v>
      </c>
      <c r="B15" s="18" t="s">
        <v>413</v>
      </c>
      <c r="C15" s="29" t="str">
        <f>IFERROR(VLOOKUP(B15,인사명부!$A:$B,2,0),"")</f>
        <v>오민재</v>
      </c>
      <c r="D15" s="29" t="str">
        <f>IFERROR(VLOOKUP(B15,인사명부!$A:$C,3,0),"")</f>
        <v>공사부</v>
      </c>
      <c r="E15" s="21">
        <v>4500000</v>
      </c>
      <c r="F15" s="21">
        <v>800000</v>
      </c>
      <c r="G15" s="23">
        <f t="shared" si="0"/>
        <v>5300000</v>
      </c>
      <c r="H15" s="22">
        <f>ROUND(G15*기준정보!$B$12,0)</f>
        <v>238500</v>
      </c>
      <c r="I15" s="22">
        <f>ROUND(G15*기준정보!$B$13,0)</f>
        <v>187885</v>
      </c>
      <c r="J15" s="22">
        <f>ROUND(I15*기준정보!$B$14,0)</f>
        <v>24331</v>
      </c>
      <c r="K15" s="22">
        <f>ROUND(G15*기준정보!$B$15,0)</f>
        <v>47700</v>
      </c>
      <c r="L15" s="21">
        <v>230000</v>
      </c>
      <c r="M15" s="23">
        <f t="shared" si="1"/>
        <v>23000</v>
      </c>
      <c r="N15" s="23">
        <f t="shared" si="2"/>
        <v>751416</v>
      </c>
      <c r="O15" s="23">
        <f t="shared" si="3"/>
        <v>4548584</v>
      </c>
      <c r="P15" s="20">
        <v>46198</v>
      </c>
      <c r="Q15" s="9"/>
    </row>
    <row r="16" spans="1:17" x14ac:dyDescent="0.4">
      <c r="A16" s="28">
        <v>46174</v>
      </c>
      <c r="B16" s="18" t="s">
        <v>416</v>
      </c>
      <c r="C16" s="29" t="str">
        <f>IFERROR(VLOOKUP(B16,인사명부!$A:$B,2,0),"")</f>
        <v>정다은</v>
      </c>
      <c r="D16" s="29" t="str">
        <f>IFERROR(VLOOKUP(B16,인사명부!$A:$C,3,0),"")</f>
        <v>경영지원부</v>
      </c>
      <c r="E16" s="21">
        <v>3800000</v>
      </c>
      <c r="F16" s="21">
        <v>300000</v>
      </c>
      <c r="G16" s="23">
        <f t="shared" si="0"/>
        <v>4100000</v>
      </c>
      <c r="H16" s="22">
        <f>ROUND(G16*기준정보!$B$12,0)</f>
        <v>184500</v>
      </c>
      <c r="I16" s="22">
        <f>ROUND(G16*기준정보!$B$13,0)</f>
        <v>145345</v>
      </c>
      <c r="J16" s="22">
        <f>ROUND(I16*기준정보!$B$14,0)</f>
        <v>18822</v>
      </c>
      <c r="K16" s="22">
        <f>ROUND(G16*기준정보!$B$15,0)</f>
        <v>36900</v>
      </c>
      <c r="L16" s="21">
        <v>120000</v>
      </c>
      <c r="M16" s="23">
        <f t="shared" si="1"/>
        <v>12000</v>
      </c>
      <c r="N16" s="23">
        <f t="shared" si="2"/>
        <v>517567</v>
      </c>
      <c r="O16" s="23">
        <f t="shared" si="3"/>
        <v>3582433</v>
      </c>
      <c r="P16" s="20">
        <v>46198</v>
      </c>
      <c r="Q16" s="9"/>
    </row>
    <row r="17" spans="1:17" x14ac:dyDescent="0.4">
      <c r="A17" s="28">
        <v>46174</v>
      </c>
      <c r="B17" s="18" t="s">
        <v>420</v>
      </c>
      <c r="C17" s="29" t="str">
        <f>IFERROR(VLOOKUP(B17,인사명부!$A:$B,2,0),"")</f>
        <v>강지훈</v>
      </c>
      <c r="D17" s="29" t="str">
        <f>IFERROR(VLOOKUP(B17,인사명부!$A:$C,3,0),"")</f>
        <v>안전관리부</v>
      </c>
      <c r="E17" s="21">
        <v>3200000</v>
      </c>
      <c r="F17" s="21">
        <v>300000</v>
      </c>
      <c r="G17" s="23">
        <f t="shared" si="0"/>
        <v>3500000</v>
      </c>
      <c r="H17" s="22">
        <f>ROUND(G17*기준정보!$B$12,0)</f>
        <v>157500</v>
      </c>
      <c r="I17" s="22">
        <f>ROUND(G17*기준정보!$B$13,0)</f>
        <v>124075</v>
      </c>
      <c r="J17" s="22">
        <f>ROUND(I17*기준정보!$B$14,0)</f>
        <v>16068</v>
      </c>
      <c r="K17" s="22">
        <f>ROUND(G17*기준정보!$B$15,0)</f>
        <v>31500</v>
      </c>
      <c r="L17" s="21">
        <v>80000</v>
      </c>
      <c r="M17" s="23">
        <f t="shared" si="1"/>
        <v>8000</v>
      </c>
      <c r="N17" s="23">
        <f t="shared" si="2"/>
        <v>417143</v>
      </c>
      <c r="O17" s="23">
        <f t="shared" si="3"/>
        <v>3082857</v>
      </c>
      <c r="P17" s="20">
        <v>46198</v>
      </c>
      <c r="Q17" s="9"/>
    </row>
  </sheetData>
  <autoFilter ref="A1:Q17"/>
  <phoneticPr fontId="9" type="noConversion"/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26"/>
  <sheetViews>
    <sheetView workbookViewId="0"/>
  </sheetViews>
  <sheetFormatPr defaultRowHeight="17.399999999999999" x14ac:dyDescent="0.4"/>
  <cols>
    <col min="1" max="1" width="34" customWidth="1"/>
    <col min="2" max="2" width="20" customWidth="1"/>
    <col min="3" max="3" width="18" customWidth="1"/>
    <col min="4" max="6" width="16" customWidth="1"/>
  </cols>
  <sheetData>
    <row r="1" spans="1:6" ht="21" x14ac:dyDescent="0.45">
      <c r="A1" s="1" t="s">
        <v>440</v>
      </c>
    </row>
    <row r="2" spans="1:6" x14ac:dyDescent="0.4">
      <c r="A2" s="11" t="s">
        <v>441</v>
      </c>
    </row>
    <row r="4" spans="1:6" x14ac:dyDescent="0.4">
      <c r="A4" s="30" t="s">
        <v>442</v>
      </c>
      <c r="B4" s="31">
        <f>COUNTIF(프로젝트!$L$2:$L$300,"진행중")</f>
        <v>4</v>
      </c>
    </row>
    <row r="5" spans="1:6" x14ac:dyDescent="0.4">
      <c r="A5" s="30" t="s">
        <v>443</v>
      </c>
      <c r="B5" s="32">
        <f>SUMIF(프로젝트!$L$2:$L$300,"진행중",프로젝트!$I$2:$I$300)</f>
        <v>5300000000</v>
      </c>
    </row>
    <row r="6" spans="1:6" x14ac:dyDescent="0.4">
      <c r="A6" s="30" t="s">
        <v>444</v>
      </c>
      <c r="B6" s="32">
        <f>SUM(매출!$I$2:$I$500)</f>
        <v>1893000000</v>
      </c>
    </row>
    <row r="7" spans="1:6" x14ac:dyDescent="0.4">
      <c r="A7" s="30" t="s">
        <v>445</v>
      </c>
      <c r="B7" s="32">
        <f>SUM(매입!$I$2:$I$500)</f>
        <v>626300000</v>
      </c>
    </row>
    <row r="8" spans="1:6" x14ac:dyDescent="0.4">
      <c r="A8" s="30" t="s">
        <v>446</v>
      </c>
      <c r="B8" s="33">
        <f>B6-B7</f>
        <v>1266700000</v>
      </c>
    </row>
    <row r="9" spans="1:6" x14ac:dyDescent="0.4">
      <c r="A9" s="30" t="s">
        <v>447</v>
      </c>
      <c r="B9" s="32">
        <f>SUM(매출!$P$2:$P$500)</f>
        <v>632500000</v>
      </c>
    </row>
    <row r="10" spans="1:6" x14ac:dyDescent="0.4">
      <c r="A10" s="30" t="s">
        <v>448</v>
      </c>
      <c r="B10" s="32">
        <f>SUM(매입!$O$2:$O$500)</f>
        <v>187940000</v>
      </c>
    </row>
    <row r="11" spans="1:6" x14ac:dyDescent="0.4">
      <c r="A11" s="30" t="s">
        <v>449</v>
      </c>
      <c r="B11" s="32">
        <f>IFERROR(LOOKUP(9.99E+307,자금일보!$I$2:$I$1000),0)</f>
        <v>1217200000</v>
      </c>
    </row>
    <row r="13" spans="1:6" x14ac:dyDescent="0.4">
      <c r="A13" s="17" t="s">
        <v>450</v>
      </c>
      <c r="B13" s="17" t="s">
        <v>451</v>
      </c>
      <c r="C13" s="17" t="s">
        <v>452</v>
      </c>
      <c r="D13" s="17" t="s">
        <v>453</v>
      </c>
      <c r="E13" s="17" t="s">
        <v>454</v>
      </c>
      <c r="F13" s="17" t="s">
        <v>455</v>
      </c>
    </row>
    <row r="14" spans="1:6" x14ac:dyDescent="0.4">
      <c r="A14" s="28">
        <v>46023</v>
      </c>
      <c r="B14" s="32">
        <f>SUMIFS(매출!$I$2:$I$500,매출!$B$2:$B$500,"&gt;="&amp;$A14,매출!$B$2:$B$500,"&lt;"&amp;EDATE($A14,1))</f>
        <v>280000000</v>
      </c>
      <c r="C14" s="32">
        <f>SUMIFS(매입!$I$2:$I$500,매입!$B$2:$B$500,"&gt;="&amp;$A14,매입!$B$2:$B$500,"&lt;"&amp;EDATE($A14,1))</f>
        <v>18000000</v>
      </c>
      <c r="D14" s="34">
        <f t="shared" ref="D14:D25" si="0">B14-C14</f>
        <v>262000000</v>
      </c>
      <c r="E14" s="32">
        <f>SUMIFS(매출!$O$2:$O$500,매출!$N$2:$N$500,"&gt;="&amp;$A14,매출!$N$2:$N$500,"&lt;"&amp;EDATE($A14,1))</f>
        <v>0</v>
      </c>
      <c r="F14" s="32">
        <f>SUMIFS(매입!$N$2:$N$500,매입!$M$2:$M$500,"&gt;="&amp;$A14,매입!$M$2:$M$500,"&lt;"&amp;EDATE($A14,1))</f>
        <v>0</v>
      </c>
    </row>
    <row r="15" spans="1:6" x14ac:dyDescent="0.4">
      <c r="A15" s="28">
        <v>46054</v>
      </c>
      <c r="B15" s="32">
        <f>SUMIFS(매출!$I$2:$I$500,매출!$B$2:$B$500,"&gt;="&amp;$A15,매출!$B$2:$B$500,"&lt;"&amp;EDATE($A15,1))</f>
        <v>240000000</v>
      </c>
      <c r="C15" s="32">
        <f>SUMIFS(매입!$I$2:$I$500,매입!$B$2:$B$500,"&gt;="&amp;$A15,매입!$B$2:$B$500,"&lt;"&amp;EDATE($A15,1))</f>
        <v>110000000</v>
      </c>
      <c r="D15" s="34">
        <f t="shared" si="0"/>
        <v>130000000</v>
      </c>
      <c r="E15" s="32">
        <f>SUMIFS(매출!$O$2:$O$500,매출!$N$2:$N$500,"&gt;="&amp;$A15,매출!$N$2:$N$500,"&lt;"&amp;EDATE($A15,1))</f>
        <v>203500000</v>
      </c>
      <c r="F15" s="32">
        <f>SUMIFS(매입!$N$2:$N$500,매입!$M$2:$M$500,"&gt;="&amp;$A15,매입!$M$2:$M$500,"&lt;"&amp;EDATE($A15,1))</f>
        <v>19800000</v>
      </c>
    </row>
    <row r="16" spans="1:6" x14ac:dyDescent="0.4">
      <c r="A16" s="28">
        <v>46082</v>
      </c>
      <c r="B16" s="32">
        <f>SUMIFS(매출!$I$2:$I$500,매출!$B$2:$B$500,"&gt;="&amp;$A16,매출!$B$2:$B$500,"&lt;"&amp;EDATE($A16,1))</f>
        <v>88000000</v>
      </c>
      <c r="C16" s="32">
        <f>SUMIFS(매입!$I$2:$I$500,매입!$B$2:$B$500,"&gt;="&amp;$A16,매입!$B$2:$B$500,"&lt;"&amp;EDATE($A16,1))</f>
        <v>77900000</v>
      </c>
      <c r="D16" s="34">
        <f t="shared" si="0"/>
        <v>10100000</v>
      </c>
      <c r="E16" s="32">
        <f>SUMIFS(매출!$O$2:$O$500,매출!$N$2:$N$500,"&gt;="&amp;$A16,매출!$N$2:$N$500,"&lt;"&amp;EDATE($A16,1))</f>
        <v>368500000</v>
      </c>
      <c r="F16" s="32">
        <f>SUMIFS(매입!$N$2:$N$500,매입!$M$2:$M$500,"&gt;="&amp;$A16,매입!$M$2:$M$500,"&lt;"&amp;EDATE($A16,1))</f>
        <v>121000000</v>
      </c>
    </row>
    <row r="17" spans="1:6" x14ac:dyDescent="0.4">
      <c r="A17" s="28">
        <v>46113</v>
      </c>
      <c r="B17" s="32">
        <f>SUMIFS(매출!$I$2:$I$500,매출!$B$2:$B$500,"&gt;="&amp;$A17,매출!$B$2:$B$500,"&lt;"&amp;EDATE($A17,1))</f>
        <v>450000000</v>
      </c>
      <c r="C17" s="32">
        <f>SUMIFS(매입!$I$2:$I$500,매입!$B$2:$B$500,"&gt;="&amp;$A17,매입!$B$2:$B$500,"&lt;"&amp;EDATE($A17,1))</f>
        <v>149000000</v>
      </c>
      <c r="D17" s="34">
        <f t="shared" si="0"/>
        <v>301000000</v>
      </c>
      <c r="E17" s="32">
        <f>SUMIFS(매출!$O$2:$O$500,매출!$N$2:$N$500,"&gt;="&amp;$A17,매출!$N$2:$N$500,"&lt;"&amp;EDATE($A17,1))</f>
        <v>239800000</v>
      </c>
      <c r="F17" s="32">
        <f>SUMIFS(매입!$N$2:$N$500,매입!$M$2:$M$500,"&gt;="&amp;$A17,매입!$M$2:$M$500,"&lt;"&amp;EDATE($A17,1))</f>
        <v>85690000</v>
      </c>
    </row>
    <row r="18" spans="1:6" x14ac:dyDescent="0.4">
      <c r="A18" s="28">
        <v>46143</v>
      </c>
      <c r="B18" s="32">
        <f>SUMIFS(매출!$I$2:$I$500,매출!$B$2:$B$500,"&gt;="&amp;$A18,매출!$B$2:$B$500,"&lt;"&amp;EDATE($A18,1))</f>
        <v>302000000</v>
      </c>
      <c r="C18" s="32">
        <f>SUMIFS(매입!$I$2:$I$500,매입!$B$2:$B$500,"&gt;="&amp;$A18,매입!$B$2:$B$500,"&lt;"&amp;EDATE($A18,1))</f>
        <v>98000000</v>
      </c>
      <c r="D18" s="34">
        <f t="shared" si="0"/>
        <v>204000000</v>
      </c>
      <c r="E18" s="32">
        <f>SUMIFS(매출!$O$2:$O$500,매출!$N$2:$N$500,"&gt;="&amp;$A18,매출!$N$2:$N$500,"&lt;"&amp;EDATE($A18,1))</f>
        <v>352000000</v>
      </c>
      <c r="F18" s="32">
        <f>SUMIFS(매입!$N$2:$N$500,매입!$M$2:$M$500,"&gt;="&amp;$A18,매입!$M$2:$M$500,"&lt;"&amp;EDATE($A18,1))</f>
        <v>157400000</v>
      </c>
    </row>
    <row r="19" spans="1:6" x14ac:dyDescent="0.4">
      <c r="A19" s="28">
        <v>46174</v>
      </c>
      <c r="B19" s="32">
        <f>SUMIFS(매출!$I$2:$I$500,매출!$B$2:$B$500,"&gt;="&amp;$A19,매출!$B$2:$B$500,"&lt;"&amp;EDATE($A19,1))</f>
        <v>533000000</v>
      </c>
      <c r="C19" s="32">
        <f>SUMIFS(매입!$I$2:$I$500,매입!$B$2:$B$500,"&gt;="&amp;$A19,매입!$B$2:$B$500,"&lt;"&amp;EDATE($A19,1))</f>
        <v>173400000</v>
      </c>
      <c r="D19" s="34">
        <f t="shared" si="0"/>
        <v>359600000</v>
      </c>
      <c r="E19" s="32">
        <f>SUMIFS(매출!$O$2:$O$500,매출!$N$2:$N$500,"&gt;="&amp;$A19,매출!$N$2:$N$500,"&lt;"&amp;EDATE($A19,1))</f>
        <v>286000000</v>
      </c>
      <c r="F19" s="32">
        <f>SUMIFS(매입!$N$2:$N$500,매입!$M$2:$M$500,"&gt;="&amp;$A19,매입!$M$2:$M$500,"&lt;"&amp;EDATE($A19,1))</f>
        <v>107800000</v>
      </c>
    </row>
    <row r="20" spans="1:6" x14ac:dyDescent="0.4">
      <c r="A20" s="28">
        <v>46204</v>
      </c>
      <c r="B20" s="32">
        <f>SUMIFS(매출!$I$2:$I$500,매출!$B$2:$B$500,"&gt;="&amp;$A20,매출!$B$2:$B$500,"&lt;"&amp;EDATE($A20,1))</f>
        <v>0</v>
      </c>
      <c r="C20" s="32">
        <f>SUMIFS(매입!$I$2:$I$500,매입!$B$2:$B$500,"&gt;="&amp;$A20,매입!$B$2:$B$500,"&lt;"&amp;EDATE($A20,1))</f>
        <v>0</v>
      </c>
      <c r="D20" s="34">
        <f t="shared" si="0"/>
        <v>0</v>
      </c>
      <c r="E20" s="32">
        <f>SUMIFS(매출!$O$2:$O$500,매출!$N$2:$N$500,"&gt;="&amp;$A20,매출!$N$2:$N$500,"&lt;"&amp;EDATE($A20,1))</f>
        <v>0</v>
      </c>
      <c r="F20" s="32">
        <f>SUMIFS(매입!$N$2:$N$500,매입!$M$2:$M$500,"&gt;="&amp;$A20,매입!$M$2:$M$500,"&lt;"&amp;EDATE($A20,1))</f>
        <v>0</v>
      </c>
    </row>
    <row r="21" spans="1:6" x14ac:dyDescent="0.4">
      <c r="A21" s="28">
        <v>46235</v>
      </c>
      <c r="B21" s="32">
        <f>SUMIFS(매출!$I$2:$I$500,매출!$B$2:$B$500,"&gt;="&amp;$A21,매출!$B$2:$B$500,"&lt;"&amp;EDATE($A21,1))</f>
        <v>0</v>
      </c>
      <c r="C21" s="32">
        <f>SUMIFS(매입!$I$2:$I$500,매입!$B$2:$B$500,"&gt;="&amp;$A21,매입!$B$2:$B$500,"&lt;"&amp;EDATE($A21,1))</f>
        <v>0</v>
      </c>
      <c r="D21" s="34">
        <f t="shared" si="0"/>
        <v>0</v>
      </c>
      <c r="E21" s="32">
        <f>SUMIFS(매출!$O$2:$O$500,매출!$N$2:$N$500,"&gt;="&amp;$A21,매출!$N$2:$N$500,"&lt;"&amp;EDATE($A21,1))</f>
        <v>0</v>
      </c>
      <c r="F21" s="32">
        <f>SUMIFS(매입!$N$2:$N$500,매입!$M$2:$M$500,"&gt;="&amp;$A21,매입!$M$2:$M$500,"&lt;"&amp;EDATE($A21,1))</f>
        <v>0</v>
      </c>
    </row>
    <row r="22" spans="1:6" x14ac:dyDescent="0.4">
      <c r="A22" s="28">
        <v>46266</v>
      </c>
      <c r="B22" s="32">
        <f>SUMIFS(매출!$I$2:$I$500,매출!$B$2:$B$500,"&gt;="&amp;$A22,매출!$B$2:$B$500,"&lt;"&amp;EDATE($A22,1))</f>
        <v>0</v>
      </c>
      <c r="C22" s="32">
        <f>SUMIFS(매입!$I$2:$I$500,매입!$B$2:$B$500,"&gt;="&amp;$A22,매입!$B$2:$B$500,"&lt;"&amp;EDATE($A22,1))</f>
        <v>0</v>
      </c>
      <c r="D22" s="34">
        <f t="shared" si="0"/>
        <v>0</v>
      </c>
      <c r="E22" s="32">
        <f>SUMIFS(매출!$O$2:$O$500,매출!$N$2:$N$500,"&gt;="&amp;$A22,매출!$N$2:$N$500,"&lt;"&amp;EDATE($A22,1))</f>
        <v>0</v>
      </c>
      <c r="F22" s="32">
        <f>SUMIFS(매입!$N$2:$N$500,매입!$M$2:$M$500,"&gt;="&amp;$A22,매입!$M$2:$M$500,"&lt;"&amp;EDATE($A22,1))</f>
        <v>0</v>
      </c>
    </row>
    <row r="23" spans="1:6" x14ac:dyDescent="0.4">
      <c r="A23" s="28">
        <v>46296</v>
      </c>
      <c r="B23" s="32">
        <f>SUMIFS(매출!$I$2:$I$500,매출!$B$2:$B$500,"&gt;="&amp;$A23,매출!$B$2:$B$500,"&lt;"&amp;EDATE($A23,1))</f>
        <v>0</v>
      </c>
      <c r="C23" s="32">
        <f>SUMIFS(매입!$I$2:$I$500,매입!$B$2:$B$500,"&gt;="&amp;$A23,매입!$B$2:$B$500,"&lt;"&amp;EDATE($A23,1))</f>
        <v>0</v>
      </c>
      <c r="D23" s="34">
        <f t="shared" si="0"/>
        <v>0</v>
      </c>
      <c r="E23" s="32">
        <f>SUMIFS(매출!$O$2:$O$500,매출!$N$2:$N$500,"&gt;="&amp;$A23,매출!$N$2:$N$500,"&lt;"&amp;EDATE($A23,1))</f>
        <v>0</v>
      </c>
      <c r="F23" s="32">
        <f>SUMIFS(매입!$N$2:$N$500,매입!$M$2:$M$500,"&gt;="&amp;$A23,매입!$M$2:$M$500,"&lt;"&amp;EDATE($A23,1))</f>
        <v>0</v>
      </c>
    </row>
    <row r="24" spans="1:6" x14ac:dyDescent="0.4">
      <c r="A24" s="28">
        <v>46327</v>
      </c>
      <c r="B24" s="32">
        <f>SUMIFS(매출!$I$2:$I$500,매출!$B$2:$B$500,"&gt;="&amp;$A24,매출!$B$2:$B$500,"&lt;"&amp;EDATE($A24,1))</f>
        <v>0</v>
      </c>
      <c r="C24" s="32">
        <f>SUMIFS(매입!$I$2:$I$500,매입!$B$2:$B$500,"&gt;="&amp;$A24,매입!$B$2:$B$500,"&lt;"&amp;EDATE($A24,1))</f>
        <v>0</v>
      </c>
      <c r="D24" s="34">
        <f t="shared" si="0"/>
        <v>0</v>
      </c>
      <c r="E24" s="32">
        <f>SUMIFS(매출!$O$2:$O$500,매출!$N$2:$N$500,"&gt;="&amp;$A24,매출!$N$2:$N$500,"&lt;"&amp;EDATE($A24,1))</f>
        <v>0</v>
      </c>
      <c r="F24" s="32">
        <f>SUMIFS(매입!$N$2:$N$500,매입!$M$2:$M$500,"&gt;="&amp;$A24,매입!$M$2:$M$500,"&lt;"&amp;EDATE($A24,1))</f>
        <v>0</v>
      </c>
    </row>
    <row r="25" spans="1:6" x14ac:dyDescent="0.4">
      <c r="A25" s="28">
        <v>46357</v>
      </c>
      <c r="B25" s="32">
        <f>SUMIFS(매출!$I$2:$I$500,매출!$B$2:$B$500,"&gt;="&amp;$A25,매출!$B$2:$B$500,"&lt;"&amp;EDATE($A25,1))</f>
        <v>0</v>
      </c>
      <c r="C25" s="32">
        <f>SUMIFS(매입!$I$2:$I$500,매입!$B$2:$B$500,"&gt;="&amp;$A25,매입!$B$2:$B$500,"&lt;"&amp;EDATE($A25,1))</f>
        <v>0</v>
      </c>
      <c r="D25" s="34">
        <f t="shared" si="0"/>
        <v>0</v>
      </c>
      <c r="E25" s="32">
        <f>SUMIFS(매출!$O$2:$O$500,매출!$N$2:$N$500,"&gt;="&amp;$A25,매출!$N$2:$N$500,"&lt;"&amp;EDATE($A25,1))</f>
        <v>0</v>
      </c>
      <c r="F25" s="32">
        <f>SUMIFS(매입!$N$2:$N$500,매입!$M$2:$M$500,"&gt;="&amp;$A25,매입!$M$2:$M$500,"&lt;"&amp;EDATE($A25,1))</f>
        <v>0</v>
      </c>
    </row>
    <row r="26" spans="1:6" x14ac:dyDescent="0.4">
      <c r="A26" s="35" t="s">
        <v>456</v>
      </c>
      <c r="B26" s="33">
        <f>SUM(B14:B25)</f>
        <v>1893000000</v>
      </c>
      <c r="C26" s="33">
        <f>SUM(C14:C25)</f>
        <v>626300000</v>
      </c>
      <c r="D26" s="33">
        <f>SUM(D14:D25)</f>
        <v>1266700000</v>
      </c>
      <c r="E26" s="33">
        <f>SUM(E14:E25)</f>
        <v>1449800000</v>
      </c>
      <c r="F26" s="33">
        <f>SUM(F14:F25)</f>
        <v>491690000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사용안내</vt:lpstr>
      <vt:lpstr>기준정보</vt:lpstr>
      <vt:lpstr>거래처</vt:lpstr>
      <vt:lpstr>프로젝트</vt:lpstr>
      <vt:lpstr>매출</vt:lpstr>
      <vt:lpstr>매입</vt:lpstr>
      <vt:lpstr>자금일보</vt:lpstr>
      <vt:lpstr>인사명부</vt:lpstr>
      <vt:lpstr>급여대장</vt:lpstr>
      <vt:lpstr>월별요약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2026-07-02T01:08:33Z</dcterms:created>
  <dcterms:modified xsi:type="dcterms:W3CDTF">2026-07-02T01:09:14Z</dcterms:modified>
</cp:coreProperties>
</file>